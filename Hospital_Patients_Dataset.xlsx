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The Captain~\Desktop\"/>
    </mc:Choice>
  </mc:AlternateContent>
  <xr:revisionPtr revIDLastSave="0" documentId="13_ncr:1_{A1BAE7B8-115C-476B-BE83-B6BF54C1A679}" xr6:coauthVersionLast="47" xr6:coauthVersionMax="47" xr10:uidLastSave="{00000000-0000-0000-0000-000000000000}"/>
  <bookViews>
    <workbookView xWindow="-110" yWindow="-110" windowWidth="19420" windowHeight="11020" tabRatio="627" activeTab="2" xr2:uid="{5ABBFA4D-F81B-4B53-8BFF-6A9C4B2FE2D1}"/>
  </bookViews>
  <sheets>
    <sheet name="Hospital Patients" sheetId="1" r:id="rId1"/>
    <sheet name="Pivot Table" sheetId="3" r:id="rId2"/>
    <sheet name="Dashboard" sheetId="2" r:id="rId3"/>
  </sheets>
  <definedNames>
    <definedName name="_xlnm._FilterDatabase" localSheetId="0" hidden="1">'Hospital Patients'!$A$1:$O$1001</definedName>
    <definedName name="Slicer_Department">#N/A</definedName>
    <definedName name="Slicer_Diagnosis">#N/A</definedName>
    <definedName name="Slicer_Years__Admiss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1" l="1"/>
  <c r="M2" i="1"/>
  <c r="N2" i="1" a="1"/>
  <c r="N2" i="1" s="1"/>
  <c r="N3" i="1" a="1"/>
  <c r="N3" i="1" s="1"/>
  <c r="N4" i="1" a="1"/>
  <c r="N4" i="1" s="1"/>
  <c r="N5" i="1" a="1"/>
  <c r="N5" i="1" s="1"/>
  <c r="N6" i="1" a="1"/>
  <c r="N6" i="1"/>
  <c r="N7" i="1" a="1"/>
  <c r="N7" i="1" s="1"/>
  <c r="N8" i="1" a="1"/>
  <c r="N8" i="1" s="1"/>
  <c r="N9" i="1" a="1"/>
  <c r="N9" i="1" s="1"/>
  <c r="N10" i="1" a="1"/>
  <c r="N10" i="1"/>
  <c r="N11" i="1" a="1"/>
  <c r="N11" i="1" s="1"/>
  <c r="N12" i="1" a="1"/>
  <c r="N12" i="1" s="1"/>
  <c r="N13" i="1" a="1"/>
  <c r="N13" i="1" s="1"/>
  <c r="N14" i="1" a="1"/>
  <c r="N14" i="1" s="1"/>
  <c r="N15" i="1" a="1"/>
  <c r="N15" i="1" s="1"/>
  <c r="N16" i="1" a="1"/>
  <c r="N16" i="1" s="1"/>
  <c r="N17" i="1" a="1"/>
  <c r="N17" i="1" s="1"/>
  <c r="N18" i="1" a="1"/>
  <c r="N18" i="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c r="N35" i="1" a="1"/>
  <c r="N35" i="1" s="1"/>
  <c r="N36" i="1" a="1"/>
  <c r="N36" i="1" s="1"/>
  <c r="N37" i="1" a="1"/>
  <c r="N37" i="1" s="1"/>
  <c r="N38" i="1" a="1"/>
  <c r="N38" i="1"/>
  <c r="N39" i="1" a="1"/>
  <c r="N39" i="1" s="1"/>
  <c r="N40" i="1" a="1"/>
  <c r="N40" i="1" s="1"/>
  <c r="N41" i="1" a="1"/>
  <c r="N41" i="1" s="1"/>
  <c r="N42" i="1" a="1"/>
  <c r="N42" i="1"/>
  <c r="N43" i="1" a="1"/>
  <c r="N43" i="1" s="1"/>
  <c r="N44" i="1" a="1"/>
  <c r="N44" i="1" s="1"/>
  <c r="N45" i="1" a="1"/>
  <c r="N45" i="1" s="1"/>
  <c r="N46" i="1" a="1"/>
  <c r="N46" i="1" s="1"/>
  <c r="N47" i="1" a="1"/>
  <c r="N47" i="1" s="1"/>
  <c r="N48" i="1" a="1"/>
  <c r="N48" i="1" s="1"/>
  <c r="N49" i="1" a="1"/>
  <c r="N49" i="1" s="1"/>
  <c r="N50" i="1" a="1"/>
  <c r="N50" i="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c r="N67" i="1" a="1"/>
  <c r="N67" i="1" s="1"/>
  <c r="N68" i="1" a="1"/>
  <c r="N68" i="1" s="1"/>
  <c r="N69" i="1" a="1"/>
  <c r="N69" i="1" s="1"/>
  <c r="N70" i="1" a="1"/>
  <c r="N70" i="1"/>
  <c r="N71" i="1" a="1"/>
  <c r="N71" i="1" s="1"/>
  <c r="N72" i="1" a="1"/>
  <c r="N72" i="1" s="1"/>
  <c r="N73" i="1" a="1"/>
  <c r="N73" i="1" s="1"/>
  <c r="N74" i="1" a="1"/>
  <c r="N74" i="1"/>
  <c r="N75" i="1" a="1"/>
  <c r="N75" i="1" s="1"/>
  <c r="N76" i="1" a="1"/>
  <c r="N76" i="1" s="1"/>
  <c r="N77" i="1" a="1"/>
  <c r="N77" i="1" s="1"/>
  <c r="N78" i="1" a="1"/>
  <c r="N78" i="1" s="1"/>
  <c r="N79" i="1" a="1"/>
  <c r="N79" i="1" s="1"/>
  <c r="N80" i="1" a="1"/>
  <c r="N80" i="1" s="1"/>
  <c r="N81" i="1" a="1"/>
  <c r="N81" i="1" s="1"/>
  <c r="N82" i="1" a="1"/>
  <c r="N82" i="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c r="N99" i="1" a="1"/>
  <c r="N99" i="1" s="1"/>
  <c r="N100" i="1" a="1"/>
  <c r="N100" i="1" s="1"/>
  <c r="N101" i="1" a="1"/>
  <c r="N101" i="1" s="1"/>
  <c r="N102" i="1" a="1"/>
  <c r="N102" i="1"/>
  <c r="N103" i="1" a="1"/>
  <c r="N103" i="1" s="1"/>
  <c r="N104" i="1" a="1"/>
  <c r="N104" i="1" s="1"/>
  <c r="N105" i="1" a="1"/>
  <c r="N105" i="1" s="1"/>
  <c r="N106" i="1" a="1"/>
  <c r="N106" i="1"/>
  <c r="N107" i="1" a="1"/>
  <c r="N107" i="1" s="1"/>
  <c r="N108" i="1" a="1"/>
  <c r="N108" i="1" s="1"/>
  <c r="N109" i="1" a="1"/>
  <c r="N109" i="1" s="1"/>
  <c r="N110" i="1" a="1"/>
  <c r="N110" i="1" s="1"/>
  <c r="N111" i="1" a="1"/>
  <c r="N111" i="1" s="1"/>
  <c r="N112" i="1" a="1"/>
  <c r="N112" i="1" s="1"/>
  <c r="N113" i="1" a="1"/>
  <c r="N113" i="1" s="1"/>
  <c r="N114" i="1" a="1"/>
  <c r="N114" i="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c r="N131" i="1" a="1"/>
  <c r="N131" i="1" s="1"/>
  <c r="N132" i="1" a="1"/>
  <c r="N132" i="1" s="1"/>
  <c r="N133" i="1" a="1"/>
  <c r="N133" i="1" s="1"/>
  <c r="N134" i="1" a="1"/>
  <c r="N134" i="1"/>
  <c r="N135" i="1" a="1"/>
  <c r="N135" i="1" s="1"/>
  <c r="N136" i="1" a="1"/>
  <c r="N136" i="1" s="1"/>
  <c r="N137" i="1" a="1"/>
  <c r="N137" i="1" s="1"/>
  <c r="N138" i="1" a="1"/>
  <c r="N138" i="1"/>
  <c r="N139" i="1" a="1"/>
  <c r="N139" i="1" s="1"/>
  <c r="N140" i="1" a="1"/>
  <c r="N140" i="1" s="1"/>
  <c r="N141" i="1" a="1"/>
  <c r="N141" i="1" s="1"/>
  <c r="N142" i="1" a="1"/>
  <c r="N142" i="1" s="1"/>
  <c r="N143" i="1" a="1"/>
  <c r="N143" i="1" s="1"/>
  <c r="N144" i="1" a="1"/>
  <c r="N144" i="1" s="1"/>
  <c r="N145" i="1" a="1"/>
  <c r="N145" i="1" s="1"/>
  <c r="N146" i="1" a="1"/>
  <c r="N146" i="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c r="N163" i="1" a="1"/>
  <c r="N163" i="1" s="1"/>
  <c r="N164" i="1" a="1"/>
  <c r="N164" i="1" s="1"/>
  <c r="N165" i="1" a="1"/>
  <c r="N165" i="1" s="1"/>
  <c r="N166" i="1" a="1"/>
  <c r="N166" i="1"/>
  <c r="N167" i="1" a="1"/>
  <c r="N167" i="1" s="1"/>
  <c r="N168" i="1" a="1"/>
  <c r="N168" i="1" s="1"/>
  <c r="N169" i="1" a="1"/>
  <c r="N169" i="1" s="1"/>
  <c r="N170" i="1" a="1"/>
  <c r="N170" i="1"/>
  <c r="N171" i="1" a="1"/>
  <c r="N171" i="1" s="1"/>
  <c r="N172" i="1" a="1"/>
  <c r="N172" i="1" s="1"/>
  <c r="N173" i="1" a="1"/>
  <c r="N173" i="1" s="1"/>
  <c r="N174" i="1" a="1"/>
  <c r="N174" i="1" s="1"/>
  <c r="N175" i="1" a="1"/>
  <c r="N175" i="1" s="1"/>
  <c r="N176" i="1" a="1"/>
  <c r="N176" i="1" s="1"/>
  <c r="N177" i="1" a="1"/>
  <c r="N177" i="1" s="1"/>
  <c r="N178" i="1" a="1"/>
  <c r="N178" i="1"/>
  <c r="N179" i="1" a="1"/>
  <c r="N179" i="1" s="1"/>
  <c r="N180" i="1" a="1"/>
  <c r="N180" i="1" s="1"/>
  <c r="N181" i="1" a="1"/>
  <c r="N181" i="1" s="1"/>
  <c r="N182" i="1" a="1"/>
  <c r="N182" i="1" s="1"/>
  <c r="N183" i="1" a="1"/>
  <c r="N183" i="1" s="1"/>
  <c r="N184" i="1" a="1"/>
  <c r="N184" i="1" s="1"/>
  <c r="N185" i="1" a="1"/>
  <c r="N185" i="1" s="1"/>
  <c r="N186" i="1" a="1"/>
  <c r="N186" i="1" s="1"/>
  <c r="N187" i="1" a="1"/>
  <c r="N187" i="1"/>
  <c r="N188" i="1" a="1"/>
  <c r="N188" i="1" s="1"/>
  <c r="N189" i="1" a="1"/>
  <c r="N189" i="1" s="1"/>
  <c r="N190" i="1" a="1"/>
  <c r="N190" i="1"/>
  <c r="N191" i="1" a="1"/>
  <c r="N191" i="1" s="1"/>
  <c r="N192" i="1" a="1"/>
  <c r="N192" i="1" s="1"/>
  <c r="N193" i="1" a="1"/>
  <c r="N193" i="1" s="1"/>
  <c r="N194" i="1" a="1"/>
  <c r="N194" i="1"/>
  <c r="N195" i="1" a="1"/>
  <c r="N195" i="1"/>
  <c r="N196" i="1" a="1"/>
  <c r="N196" i="1" s="1"/>
  <c r="N197" i="1" a="1"/>
  <c r="N197" i="1" s="1"/>
  <c r="N198" i="1" a="1"/>
  <c r="N198" i="1" s="1"/>
  <c r="N199" i="1" a="1"/>
  <c r="N199" i="1" s="1"/>
  <c r="N200" i="1" a="1"/>
  <c r="N200" i="1"/>
  <c r="N201" i="1" a="1"/>
  <c r="N201" i="1" s="1"/>
  <c r="N202" i="1" a="1"/>
  <c r="N202" i="1"/>
  <c r="N203" i="1" a="1"/>
  <c r="N203" i="1"/>
  <c r="N204" i="1" a="1"/>
  <c r="N204" i="1"/>
  <c r="N205" i="1" a="1"/>
  <c r="N205" i="1" s="1"/>
  <c r="N206" i="1" a="1"/>
  <c r="N206" i="1" s="1"/>
  <c r="N207" i="1" a="1"/>
  <c r="N207" i="1" s="1"/>
  <c r="N208" i="1" a="1"/>
  <c r="N208" i="1" s="1"/>
  <c r="N209" i="1" a="1"/>
  <c r="N209" i="1" s="1"/>
  <c r="N210" i="1" a="1"/>
  <c r="N210" i="1" s="1"/>
  <c r="N211" i="1" a="1"/>
  <c r="N211" i="1"/>
  <c r="N212" i="1" a="1"/>
  <c r="N212" i="1"/>
  <c r="N213" i="1" a="1"/>
  <c r="N213" i="1" s="1"/>
  <c r="N214" i="1" a="1"/>
  <c r="N214" i="1"/>
  <c r="N215" i="1" a="1"/>
  <c r="N215" i="1"/>
  <c r="N216" i="1" a="1"/>
  <c r="N216" i="1" s="1"/>
  <c r="N217" i="1" a="1"/>
  <c r="N217" i="1" s="1"/>
  <c r="N218" i="1" a="1"/>
  <c r="N218" i="1"/>
  <c r="N219" i="1" a="1"/>
  <c r="N219" i="1" s="1"/>
  <c r="N220" i="1" a="1"/>
  <c r="N220" i="1"/>
  <c r="N221" i="1" a="1"/>
  <c r="N221" i="1" s="1"/>
  <c r="N222" i="1" a="1"/>
  <c r="N222" i="1" s="1"/>
  <c r="N223" i="1" a="1"/>
  <c r="N223" i="1"/>
  <c r="N224" i="1" a="1"/>
  <c r="N224" i="1" s="1"/>
  <c r="N225" i="1" a="1"/>
  <c r="N225" i="1" s="1"/>
  <c r="N226" i="1" a="1"/>
  <c r="N226" i="1"/>
  <c r="N227" i="1" a="1"/>
  <c r="N227" i="1"/>
  <c r="N228" i="1" a="1"/>
  <c r="N228" i="1" s="1"/>
  <c r="N229" i="1" a="1"/>
  <c r="N229" i="1" s="1"/>
  <c r="N230" i="1" a="1"/>
  <c r="N230" i="1" s="1"/>
  <c r="N231" i="1" a="1"/>
  <c r="N231" i="1" s="1"/>
  <c r="N232" i="1" a="1"/>
  <c r="N232" i="1"/>
  <c r="N233" i="1" a="1"/>
  <c r="N233" i="1" s="1"/>
  <c r="N234" i="1" a="1"/>
  <c r="N234" i="1"/>
  <c r="N235" i="1" a="1"/>
  <c r="N235" i="1"/>
  <c r="N236" i="1" a="1"/>
  <c r="N236" i="1"/>
  <c r="N237" i="1" a="1"/>
  <c r="N237" i="1" s="1"/>
  <c r="N238" i="1" a="1"/>
  <c r="N238" i="1" s="1"/>
  <c r="N239" i="1" a="1"/>
  <c r="N239" i="1" s="1"/>
  <c r="N240" i="1" a="1"/>
  <c r="N240" i="1" s="1"/>
  <c r="N241" i="1" a="1"/>
  <c r="N241" i="1" s="1"/>
  <c r="N242" i="1" a="1"/>
  <c r="N242" i="1" s="1"/>
  <c r="N243" i="1" a="1"/>
  <c r="N243" i="1"/>
  <c r="N244" i="1" a="1"/>
  <c r="N244" i="1"/>
  <c r="N245" i="1" a="1"/>
  <c r="N245" i="1" s="1"/>
  <c r="N246" i="1" a="1"/>
  <c r="N246" i="1"/>
  <c r="N247" i="1" a="1"/>
  <c r="N247" i="1"/>
  <c r="N248" i="1" a="1"/>
  <c r="N248" i="1" s="1"/>
  <c r="N249" i="1" a="1"/>
  <c r="N249" i="1" s="1"/>
  <c r="N250" i="1" a="1"/>
  <c r="N250" i="1"/>
  <c r="N251" i="1" a="1"/>
  <c r="N251" i="1" s="1"/>
  <c r="N252" i="1" a="1"/>
  <c r="N252" i="1"/>
  <c r="N253" i="1" a="1"/>
  <c r="N253" i="1" s="1"/>
  <c r="N254" i="1" a="1"/>
  <c r="N254" i="1" s="1"/>
  <c r="N255" i="1" a="1"/>
  <c r="N255" i="1"/>
  <c r="N256" i="1" a="1"/>
  <c r="N256" i="1" s="1"/>
  <c r="N257" i="1" a="1"/>
  <c r="N257" i="1" s="1"/>
  <c r="N258" i="1" a="1"/>
  <c r="N258" i="1"/>
  <c r="N259" i="1" a="1"/>
  <c r="N259" i="1"/>
  <c r="N260" i="1" a="1"/>
  <c r="N260" i="1" s="1"/>
  <c r="N261" i="1" a="1"/>
  <c r="N261" i="1" s="1"/>
  <c r="N262" i="1" a="1"/>
  <c r="N262" i="1" s="1"/>
  <c r="N263" i="1" a="1"/>
  <c r="N263" i="1" s="1"/>
  <c r="N264" i="1" a="1"/>
  <c r="N264" i="1"/>
  <c r="N265" i="1" a="1"/>
  <c r="N265" i="1" s="1"/>
  <c r="N266" i="1" a="1"/>
  <c r="N266" i="1"/>
  <c r="N267" i="1" a="1"/>
  <c r="N267" i="1"/>
  <c r="N268" i="1" a="1"/>
  <c r="N268" i="1" s="1"/>
  <c r="N269" i="1" a="1"/>
  <c r="N269" i="1" s="1"/>
  <c r="N270" i="1" a="1"/>
  <c r="N270" i="1"/>
  <c r="N271" i="1" a="1"/>
  <c r="N271" i="1" s="1"/>
  <c r="N272" i="1" a="1"/>
  <c r="N272" i="1"/>
  <c r="N273" i="1" a="1"/>
  <c r="N273" i="1" s="1"/>
  <c r="N274" i="1" a="1"/>
  <c r="N274" i="1" s="1"/>
  <c r="N275" i="1" a="1"/>
  <c r="N275" i="1"/>
  <c r="N276" i="1" a="1"/>
  <c r="N276" i="1"/>
  <c r="N277" i="1" a="1"/>
  <c r="N277" i="1" s="1"/>
  <c r="N278" i="1" a="1"/>
  <c r="N278" i="1"/>
  <c r="N279" i="1" a="1"/>
  <c r="N279" i="1"/>
  <c r="N280" i="1" a="1"/>
  <c r="N280" i="1" s="1"/>
  <c r="N281" i="1" a="1"/>
  <c r="N281" i="1" s="1"/>
  <c r="N282" i="1" a="1"/>
  <c r="N282" i="1" s="1"/>
  <c r="N283" i="1" a="1"/>
  <c r="N283" i="1" s="1"/>
  <c r="N284" i="1" a="1"/>
  <c r="N284" i="1"/>
  <c r="N285" i="1" a="1"/>
  <c r="N285" i="1" s="1"/>
  <c r="N286" i="1" a="1"/>
  <c r="N286" i="1"/>
  <c r="N287" i="1" a="1"/>
  <c r="N287" i="1"/>
  <c r="N288" i="1" a="1"/>
  <c r="N288" i="1"/>
  <c r="N289" i="1" a="1"/>
  <c r="N289" i="1" s="1"/>
  <c r="N290" i="1" a="1"/>
  <c r="N290" i="1"/>
  <c r="N291" i="1" a="1"/>
  <c r="N291" i="1" s="1"/>
  <c r="N292" i="1" a="1"/>
  <c r="N292" i="1" s="1"/>
  <c r="N293" i="1" a="1"/>
  <c r="N293" i="1" s="1"/>
  <c r="N294" i="1" a="1"/>
  <c r="N294" i="1" s="1"/>
  <c r="N295" i="1" a="1"/>
  <c r="N295" i="1"/>
  <c r="N296" i="1" a="1"/>
  <c r="N296" i="1"/>
  <c r="N297" i="1" a="1"/>
  <c r="N297" i="1" s="1"/>
  <c r="N298" i="1" a="1"/>
  <c r="N298" i="1"/>
  <c r="N299" i="1" a="1"/>
  <c r="N299" i="1"/>
  <c r="N300" i="1" a="1"/>
  <c r="N300" i="1" s="1"/>
  <c r="N301" i="1" a="1"/>
  <c r="N301" i="1" s="1"/>
  <c r="N302" i="1" a="1"/>
  <c r="N302" i="1" s="1"/>
  <c r="N303" i="1" a="1"/>
  <c r="N303" i="1" s="1"/>
  <c r="N304" i="1" a="1"/>
  <c r="N304" i="1"/>
  <c r="N305" i="1" a="1"/>
  <c r="N305" i="1" s="1"/>
  <c r="N306" i="1" a="1"/>
  <c r="N306" i="1" s="1"/>
  <c r="N307" i="1" a="1"/>
  <c r="N307" i="1"/>
  <c r="N308" i="1" a="1"/>
  <c r="N308" i="1" s="1"/>
  <c r="N309" i="1" a="1"/>
  <c r="N309" i="1" s="1"/>
  <c r="N310" i="1" a="1"/>
  <c r="N310" i="1"/>
  <c r="N311" i="1" a="1"/>
  <c r="N311" i="1"/>
  <c r="N312" i="1" a="1"/>
  <c r="N312" i="1" s="1"/>
  <c r="N313" i="1" a="1"/>
  <c r="N313" i="1" s="1"/>
  <c r="N314" i="1" a="1"/>
  <c r="N314" i="1" s="1"/>
  <c r="N315" i="1" a="1"/>
  <c r="N315" i="1" s="1"/>
  <c r="N316" i="1" a="1"/>
  <c r="N316" i="1"/>
  <c r="N317" i="1" a="1"/>
  <c r="N317" i="1" s="1"/>
  <c r="N318" i="1" a="1"/>
  <c r="N318" i="1"/>
  <c r="N319" i="1" a="1"/>
  <c r="N319" i="1"/>
  <c r="N320" i="1" a="1"/>
  <c r="N320" i="1"/>
  <c r="N321" i="1" a="1"/>
  <c r="N321" i="1" s="1"/>
  <c r="N322" i="1" a="1"/>
  <c r="N322" i="1" s="1"/>
  <c r="N323" i="1" a="1"/>
  <c r="N323" i="1" s="1"/>
  <c r="N324" i="1" a="1"/>
  <c r="N324" i="1" s="1"/>
  <c r="N325" i="1" a="1"/>
  <c r="N325" i="1" s="1"/>
  <c r="N326" i="1" a="1"/>
  <c r="N326" i="1"/>
  <c r="N327" i="1" a="1"/>
  <c r="N327" i="1"/>
  <c r="N328" i="1" a="1"/>
  <c r="N328" i="1"/>
  <c r="N329" i="1" a="1"/>
  <c r="N329" i="1" s="1"/>
  <c r="N330" i="1" a="1"/>
  <c r="N330" i="1"/>
  <c r="N331" i="1" a="1"/>
  <c r="N331" i="1" s="1"/>
  <c r="N332" i="1" a="1"/>
  <c r="N332" i="1" s="1"/>
  <c r="N333" i="1" a="1"/>
  <c r="N333" i="1" s="1"/>
  <c r="N334" i="1" a="1"/>
  <c r="N334" i="1" s="1"/>
  <c r="N335" i="1" a="1"/>
  <c r="N335" i="1" s="1"/>
  <c r="N336" i="1" a="1"/>
  <c r="N336" i="1"/>
  <c r="N337" i="1" a="1"/>
  <c r="N337" i="1" s="1"/>
  <c r="N338" i="1" a="1"/>
  <c r="N338" i="1" s="1"/>
  <c r="N339" i="1" a="1"/>
  <c r="N339" i="1"/>
  <c r="N340" i="1" a="1"/>
  <c r="N340" i="1" s="1"/>
  <c r="N341" i="1" a="1"/>
  <c r="N341" i="1" s="1"/>
  <c r="N342" i="1" a="1"/>
  <c r="N342" i="1"/>
  <c r="N343" i="1" a="1"/>
  <c r="N343" i="1"/>
  <c r="N344" i="1" a="1"/>
  <c r="N344" i="1"/>
  <c r="N345" i="1" a="1"/>
  <c r="N345" i="1"/>
  <c r="N346" i="1" a="1"/>
  <c r="N346" i="1"/>
  <c r="N347" i="1" a="1"/>
  <c r="N347" i="1" s="1"/>
  <c r="N348" i="1" a="1"/>
  <c r="N348" i="1" s="1"/>
  <c r="N349" i="1" a="1"/>
  <c r="N349" i="1"/>
  <c r="N350" i="1" a="1"/>
  <c r="N350" i="1"/>
  <c r="N351" i="1" a="1"/>
  <c r="N351" i="1" s="1"/>
  <c r="N352" i="1" a="1"/>
  <c r="N352" i="1" s="1"/>
  <c r="N353" i="1" a="1"/>
  <c r="N353" i="1"/>
  <c r="N354" i="1" a="1"/>
  <c r="N354" i="1" s="1"/>
  <c r="N355" i="1" a="1"/>
  <c r="N355" i="1" s="1"/>
  <c r="N356" i="1" a="1"/>
  <c r="N356" i="1" s="1"/>
  <c r="N357" i="1" a="1"/>
  <c r="N357" i="1"/>
  <c r="N358" i="1" a="1"/>
  <c r="N358" i="1"/>
  <c r="N359" i="1" a="1"/>
  <c r="N359" i="1" s="1"/>
  <c r="N360" i="1" a="1"/>
  <c r="N360" i="1"/>
  <c r="N361" i="1" a="1"/>
  <c r="N361" i="1"/>
  <c r="N362" i="1" a="1"/>
  <c r="N362" i="1"/>
  <c r="N363" i="1" a="1"/>
  <c r="N363" i="1" s="1"/>
  <c r="N364" i="1" a="1"/>
  <c r="N364" i="1" s="1"/>
  <c r="N365" i="1" a="1"/>
  <c r="N365" i="1" s="1"/>
  <c r="N366" i="1" a="1"/>
  <c r="N366" i="1" s="1"/>
  <c r="N367" i="1" a="1"/>
  <c r="N367" i="1" s="1"/>
  <c r="N368" i="1" a="1"/>
  <c r="N368" i="1"/>
  <c r="N369" i="1" a="1"/>
  <c r="N369" i="1" s="1"/>
  <c r="N370" i="1" a="1"/>
  <c r="N370" i="1" s="1"/>
  <c r="N371" i="1" a="1"/>
  <c r="N371" i="1" s="1"/>
  <c r="N372" i="1" a="1"/>
  <c r="N372" i="1" s="1"/>
  <c r="N373" i="1" a="1"/>
  <c r="N373" i="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c r="N385" i="1" a="1"/>
  <c r="N385" i="1" s="1"/>
  <c r="N386" i="1" a="1"/>
  <c r="N386" i="1" s="1"/>
  <c r="N387" i="1" a="1"/>
  <c r="N387" i="1" s="1"/>
  <c r="N388" i="1" a="1"/>
  <c r="N388" i="1" s="1"/>
  <c r="N389" i="1" a="1"/>
  <c r="N389" i="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c r="N401" i="1" a="1"/>
  <c r="N401" i="1" s="1"/>
  <c r="N402" i="1" a="1"/>
  <c r="N402" i="1" s="1"/>
  <c r="N403" i="1" a="1"/>
  <c r="N403" i="1" s="1"/>
  <c r="N404" i="1" a="1"/>
  <c r="N404" i="1" s="1"/>
  <c r="N405" i="1" a="1"/>
  <c r="N405" i="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c r="N417" i="1" a="1"/>
  <c r="N417" i="1" s="1"/>
  <c r="N418" i="1" a="1"/>
  <c r="N418" i="1" s="1"/>
  <c r="N419" i="1" a="1"/>
  <c r="N419" i="1" s="1"/>
  <c r="N420" i="1" a="1"/>
  <c r="N420" i="1" s="1"/>
  <c r="N421" i="1" a="1"/>
  <c r="N421" i="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c r="N433" i="1" a="1"/>
  <c r="N433" i="1" s="1"/>
  <c r="N434" i="1" a="1"/>
  <c r="N434" i="1" s="1"/>
  <c r="N435" i="1" a="1"/>
  <c r="N435" i="1" s="1"/>
  <c r="N436" i="1" a="1"/>
  <c r="N436" i="1" s="1"/>
  <c r="N437" i="1" a="1"/>
  <c r="N437" i="1"/>
  <c r="N438" i="1" a="1"/>
  <c r="N438" i="1" s="1"/>
  <c r="N439" i="1" a="1"/>
  <c r="N439" i="1" s="1"/>
  <c r="N440" i="1" a="1"/>
  <c r="N440" i="1"/>
  <c r="N441" i="1" a="1"/>
  <c r="N441" i="1"/>
  <c r="N442" i="1" a="1"/>
  <c r="N442" i="1" s="1"/>
  <c r="N443" i="1" a="1"/>
  <c r="N443" i="1" s="1"/>
  <c r="N444" i="1" a="1"/>
  <c r="N444" i="1" s="1"/>
  <c r="N445" i="1" a="1"/>
  <c r="N445" i="1" s="1"/>
  <c r="N446" i="1" a="1"/>
  <c r="N446" i="1"/>
  <c r="N447" i="1" a="1"/>
  <c r="N447" i="1" s="1"/>
  <c r="N448" i="1" a="1"/>
  <c r="N448" i="1"/>
  <c r="N449" i="1" a="1"/>
  <c r="N449" i="1"/>
  <c r="N450" i="1" a="1"/>
  <c r="N450" i="1"/>
  <c r="N451" i="1" a="1"/>
  <c r="N451" i="1" s="1"/>
  <c r="N452" i="1" a="1"/>
  <c r="N452" i="1" s="1"/>
  <c r="N453" i="1" a="1"/>
  <c r="N453" i="1" s="1"/>
  <c r="N454" i="1" a="1"/>
  <c r="N454" i="1" s="1"/>
  <c r="N455" i="1" a="1"/>
  <c r="N455" i="1" s="1"/>
  <c r="N456" i="1" a="1"/>
  <c r="N456" i="1" s="1"/>
  <c r="N457" i="1" a="1"/>
  <c r="N457" i="1"/>
  <c r="N458" i="1" a="1"/>
  <c r="N458" i="1"/>
  <c r="N459" i="1" a="1"/>
  <c r="N459" i="1" s="1"/>
  <c r="N460" i="1" a="1"/>
  <c r="N460" i="1"/>
  <c r="N461" i="1" a="1"/>
  <c r="N461" i="1" s="1"/>
  <c r="N462" i="1" a="1"/>
  <c r="N462" i="1" s="1"/>
  <c r="N463" i="1" a="1"/>
  <c r="N463" i="1" s="1"/>
  <c r="N464" i="1" a="1"/>
  <c r="N464" i="1"/>
  <c r="N465" i="1" a="1"/>
  <c r="N465" i="1" s="1"/>
  <c r="N466" i="1" a="1"/>
  <c r="N466" i="1"/>
  <c r="N467" i="1" a="1"/>
  <c r="N467" i="1" s="1"/>
  <c r="N468" i="1" a="1"/>
  <c r="N468" i="1" s="1"/>
  <c r="N469" i="1" a="1"/>
  <c r="N469" i="1"/>
  <c r="N470" i="1" a="1"/>
  <c r="N470" i="1" s="1"/>
  <c r="N471" i="1" a="1"/>
  <c r="N471" i="1" s="1"/>
  <c r="N472" i="1" a="1"/>
  <c r="N472" i="1"/>
  <c r="N473" i="1" a="1"/>
  <c r="N473" i="1"/>
  <c r="N474" i="1" a="1"/>
  <c r="N474" i="1" s="1"/>
  <c r="N475" i="1" a="1"/>
  <c r="N475" i="1" s="1"/>
  <c r="N476" i="1" a="1"/>
  <c r="N476" i="1" s="1"/>
  <c r="N477" i="1" a="1"/>
  <c r="N477" i="1" s="1"/>
  <c r="N478" i="1" a="1"/>
  <c r="N478" i="1"/>
  <c r="N479" i="1" a="1"/>
  <c r="N479" i="1" s="1"/>
  <c r="N480" i="1" a="1"/>
  <c r="N480" i="1"/>
  <c r="N481" i="1" a="1"/>
  <c r="N481" i="1"/>
  <c r="N482" i="1" a="1"/>
  <c r="N482" i="1"/>
  <c r="N483" i="1" a="1"/>
  <c r="N483" i="1" s="1"/>
  <c r="N484" i="1" a="1"/>
  <c r="N484" i="1" s="1"/>
  <c r="N485" i="1" a="1"/>
  <c r="N485" i="1" s="1"/>
  <c r="N486" i="1" a="1"/>
  <c r="N486" i="1" s="1"/>
  <c r="N487" i="1" a="1"/>
  <c r="N487" i="1" s="1"/>
  <c r="N488" i="1" a="1"/>
  <c r="N488" i="1" s="1"/>
  <c r="N489" i="1" a="1"/>
  <c r="N489" i="1"/>
  <c r="N490" i="1" a="1"/>
  <c r="N490" i="1"/>
  <c r="N491" i="1" a="1"/>
  <c r="N491" i="1" s="1"/>
  <c r="N492" i="1" a="1"/>
  <c r="N492" i="1"/>
  <c r="N493" i="1" a="1"/>
  <c r="N493" i="1" s="1"/>
  <c r="N494" i="1" a="1"/>
  <c r="N494" i="1" s="1"/>
  <c r="N495" i="1" a="1"/>
  <c r="N495" i="1" s="1"/>
  <c r="N496" i="1" a="1"/>
  <c r="N496" i="1"/>
  <c r="N497" i="1" a="1"/>
  <c r="N497" i="1" s="1"/>
  <c r="N498" i="1" a="1"/>
  <c r="N498" i="1"/>
  <c r="N499" i="1" a="1"/>
  <c r="N499" i="1" s="1"/>
  <c r="N500" i="1" a="1"/>
  <c r="N500" i="1" s="1"/>
  <c r="N501" i="1" a="1"/>
  <c r="N501" i="1"/>
  <c r="N502" i="1" a="1"/>
  <c r="N502" i="1" s="1"/>
  <c r="N503" i="1" a="1"/>
  <c r="N503" i="1" s="1"/>
  <c r="N504" i="1" a="1"/>
  <c r="N504" i="1"/>
  <c r="N505" i="1" a="1"/>
  <c r="N505" i="1"/>
  <c r="N506" i="1" a="1"/>
  <c r="N506" i="1" s="1"/>
  <c r="N507" i="1" a="1"/>
  <c r="N507" i="1" s="1"/>
  <c r="N508" i="1" a="1"/>
  <c r="N508" i="1" s="1"/>
  <c r="N509" i="1" a="1"/>
  <c r="N509" i="1" s="1"/>
  <c r="N510" i="1" a="1"/>
  <c r="N510" i="1"/>
  <c r="N511" i="1" a="1"/>
  <c r="N511" i="1" s="1"/>
  <c r="N512" i="1" a="1"/>
  <c r="N512" i="1"/>
  <c r="N513" i="1" a="1"/>
  <c r="N513" i="1"/>
  <c r="N514" i="1" a="1"/>
  <c r="N514" i="1"/>
  <c r="N515" i="1" a="1"/>
  <c r="N515" i="1" s="1"/>
  <c r="N516" i="1" a="1"/>
  <c r="N516" i="1" s="1"/>
  <c r="N517" i="1" a="1"/>
  <c r="N517" i="1" s="1"/>
  <c r="N518" i="1" a="1"/>
  <c r="N518" i="1" s="1"/>
  <c r="N519" i="1" a="1"/>
  <c r="N519" i="1" s="1"/>
  <c r="N520" i="1" a="1"/>
  <c r="N520" i="1" s="1"/>
  <c r="N521" i="1" a="1"/>
  <c r="N521" i="1"/>
  <c r="N522" i="1" a="1"/>
  <c r="N522" i="1"/>
  <c r="N523" i="1" a="1"/>
  <c r="N523" i="1" s="1"/>
  <c r="N524" i="1" a="1"/>
  <c r="N524" i="1"/>
  <c r="N525" i="1" a="1"/>
  <c r="N525" i="1" s="1"/>
  <c r="N526" i="1" a="1"/>
  <c r="N526" i="1" s="1"/>
  <c r="N527" i="1" a="1"/>
  <c r="N527" i="1" s="1"/>
  <c r="N528" i="1" a="1"/>
  <c r="N528" i="1"/>
  <c r="N529" i="1" a="1"/>
  <c r="N529" i="1" s="1"/>
  <c r="N530" i="1" a="1"/>
  <c r="N530" i="1"/>
  <c r="N531" i="1" a="1"/>
  <c r="N531" i="1" s="1"/>
  <c r="N532" i="1" a="1"/>
  <c r="N532" i="1" s="1"/>
  <c r="N533" i="1" a="1"/>
  <c r="N533" i="1"/>
  <c r="N534" i="1" a="1"/>
  <c r="N534" i="1" s="1"/>
  <c r="N535" i="1" a="1"/>
  <c r="N535" i="1" s="1"/>
  <c r="N536" i="1" a="1"/>
  <c r="N536" i="1"/>
  <c r="N537" i="1" a="1"/>
  <c r="N537" i="1"/>
  <c r="N538" i="1" a="1"/>
  <c r="N538" i="1" s="1"/>
  <c r="N539" i="1" a="1"/>
  <c r="N539" i="1" s="1"/>
  <c r="N540" i="1" a="1"/>
  <c r="N540" i="1" s="1"/>
  <c r="N541" i="1" a="1"/>
  <c r="N541" i="1" s="1"/>
  <c r="N542" i="1" a="1"/>
  <c r="N542" i="1"/>
  <c r="N543" i="1" a="1"/>
  <c r="N543" i="1" s="1"/>
  <c r="N544" i="1" a="1"/>
  <c r="N544" i="1"/>
  <c r="N545" i="1" a="1"/>
  <c r="N545" i="1"/>
  <c r="N546" i="1" a="1"/>
  <c r="N546" i="1"/>
  <c r="N547" i="1" a="1"/>
  <c r="N547" i="1" s="1"/>
  <c r="N548" i="1" a="1"/>
  <c r="N548" i="1" s="1"/>
  <c r="N549" i="1" a="1"/>
  <c r="N549" i="1" s="1"/>
  <c r="N550" i="1" a="1"/>
  <c r="N550" i="1" s="1"/>
  <c r="N551" i="1" a="1"/>
  <c r="N551" i="1" s="1"/>
  <c r="N552" i="1" a="1"/>
  <c r="N552" i="1" s="1"/>
  <c r="N553" i="1" a="1"/>
  <c r="N553" i="1"/>
  <c r="N554" i="1" a="1"/>
  <c r="N554" i="1"/>
  <c r="N555" i="1" a="1"/>
  <c r="N555" i="1" s="1"/>
  <c r="N556" i="1" a="1"/>
  <c r="N556" i="1"/>
  <c r="N557" i="1" a="1"/>
  <c r="N557" i="1" s="1"/>
  <c r="N558" i="1" a="1"/>
  <c r="N558" i="1" s="1"/>
  <c r="N559" i="1" a="1"/>
  <c r="N559" i="1" s="1"/>
  <c r="N560" i="1" a="1"/>
  <c r="N560" i="1"/>
  <c r="N561" i="1" a="1"/>
  <c r="N561" i="1" s="1"/>
  <c r="N562" i="1" a="1"/>
  <c r="N562" i="1"/>
  <c r="N563" i="1" a="1"/>
  <c r="N563" i="1" s="1"/>
  <c r="N564" i="1" a="1"/>
  <c r="N564" i="1" s="1"/>
  <c r="N565" i="1" a="1"/>
  <c r="N565" i="1"/>
  <c r="N566" i="1" a="1"/>
  <c r="N566" i="1" s="1"/>
  <c r="N567" i="1" a="1"/>
  <c r="N567" i="1" s="1"/>
  <c r="N568" i="1" a="1"/>
  <c r="N568" i="1"/>
  <c r="N569" i="1" a="1"/>
  <c r="N569" i="1"/>
  <c r="N570" i="1" a="1"/>
  <c r="N570" i="1"/>
  <c r="N571" i="1" a="1"/>
  <c r="N571" i="1" s="1"/>
  <c r="N572" i="1" a="1"/>
  <c r="N572" i="1" s="1"/>
  <c r="N573" i="1" a="1"/>
  <c r="N573" i="1" s="1"/>
  <c r="N574" i="1" a="1"/>
  <c r="N574" i="1"/>
  <c r="N575" i="1" a="1"/>
  <c r="N575" i="1" s="1"/>
  <c r="N576" i="1" a="1"/>
  <c r="N576" i="1"/>
  <c r="N577" i="1" a="1"/>
  <c r="N577" i="1"/>
  <c r="N578" i="1" a="1"/>
  <c r="N578" i="1"/>
  <c r="N579" i="1" a="1"/>
  <c r="N579" i="1" s="1"/>
  <c r="N580" i="1" a="1"/>
  <c r="N580" i="1" s="1"/>
  <c r="N581" i="1" a="1"/>
  <c r="N581" i="1" s="1"/>
  <c r="N582" i="1" a="1"/>
  <c r="N582" i="1" s="1"/>
  <c r="N583" i="1" a="1"/>
  <c r="N583" i="1" s="1"/>
  <c r="N584" i="1" a="1"/>
  <c r="N584" i="1" s="1"/>
  <c r="N585" i="1" a="1"/>
  <c r="N585" i="1"/>
  <c r="N586" i="1" a="1"/>
  <c r="N586" i="1"/>
  <c r="N587" i="1" a="1"/>
  <c r="N587" i="1" s="1"/>
  <c r="N588" i="1" a="1"/>
  <c r="N588" i="1"/>
  <c r="N589" i="1" a="1"/>
  <c r="N589" i="1" s="1"/>
  <c r="N590" i="1" a="1"/>
  <c r="N590" i="1" s="1"/>
  <c r="N591" i="1" a="1"/>
  <c r="N591" i="1" s="1"/>
  <c r="N592" i="1" a="1"/>
  <c r="N592" i="1"/>
  <c r="N593" i="1" a="1"/>
  <c r="N593" i="1"/>
  <c r="N594" i="1" a="1"/>
  <c r="N594" i="1"/>
  <c r="N595" i="1" a="1"/>
  <c r="N595" i="1" s="1"/>
  <c r="N596" i="1" a="1"/>
  <c r="N596" i="1" s="1"/>
  <c r="N597" i="1" a="1"/>
  <c r="N597" i="1"/>
  <c r="N598" i="1" a="1"/>
  <c r="N598" i="1" s="1"/>
  <c r="N599" i="1" a="1"/>
  <c r="N599" i="1" s="1"/>
  <c r="N600" i="1" a="1"/>
  <c r="N600" i="1"/>
  <c r="N601" i="1" a="1"/>
  <c r="N601" i="1"/>
  <c r="N602" i="1" a="1"/>
  <c r="N602" i="1" s="1"/>
  <c r="N603" i="1" a="1"/>
  <c r="N603" i="1" s="1"/>
  <c r="N604" i="1" a="1"/>
  <c r="N604" i="1" s="1"/>
  <c r="N605" i="1" a="1"/>
  <c r="N605" i="1" s="1"/>
  <c r="N606" i="1" a="1"/>
  <c r="N606" i="1"/>
  <c r="N607" i="1" a="1"/>
  <c r="N607" i="1" s="1"/>
  <c r="N608" i="1" a="1"/>
  <c r="N608" i="1"/>
  <c r="N609" i="1" a="1"/>
  <c r="N609" i="1"/>
  <c r="N610" i="1" a="1"/>
  <c r="N610" i="1"/>
  <c r="N611" i="1" a="1"/>
  <c r="N611" i="1" s="1"/>
  <c r="N612" i="1" a="1"/>
  <c r="N612" i="1" s="1"/>
  <c r="N613" i="1" a="1"/>
  <c r="N613" i="1" s="1"/>
  <c r="N614" i="1" a="1"/>
  <c r="N614" i="1" s="1"/>
  <c r="N615" i="1" a="1"/>
  <c r="N615" i="1" s="1"/>
  <c r="N616" i="1" a="1"/>
  <c r="N616" i="1" s="1"/>
  <c r="N617" i="1" a="1"/>
  <c r="N617" i="1"/>
  <c r="N618" i="1" a="1"/>
  <c r="N618" i="1"/>
  <c r="N619" i="1" a="1"/>
  <c r="N619" i="1" s="1"/>
  <c r="N620" i="1" a="1"/>
  <c r="N620" i="1"/>
  <c r="N621" i="1" a="1"/>
  <c r="N621" i="1" s="1"/>
  <c r="N622" i="1" a="1"/>
  <c r="N622" i="1" s="1"/>
  <c r="N623" i="1" a="1"/>
  <c r="N623" i="1" s="1"/>
  <c r="N624" i="1" a="1"/>
  <c r="N624" i="1"/>
  <c r="N625" i="1" a="1"/>
  <c r="N625" i="1" s="1"/>
  <c r="N626" i="1" a="1"/>
  <c r="N626" i="1"/>
  <c r="N627" i="1" a="1"/>
  <c r="N627" i="1" s="1"/>
  <c r="N628" i="1" a="1"/>
  <c r="N628" i="1" s="1"/>
  <c r="N629" i="1" a="1"/>
  <c r="N629" i="1" s="1"/>
  <c r="N630" i="1" a="1"/>
  <c r="N630" i="1" s="1"/>
  <c r="N631" i="1" a="1"/>
  <c r="N631" i="1" s="1"/>
  <c r="N632" i="1" a="1"/>
  <c r="N632" i="1"/>
  <c r="N633" i="1" a="1"/>
  <c r="N633" i="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c r="N709" i="1" a="1"/>
  <c r="N709" i="1"/>
  <c r="N710" i="1" a="1"/>
  <c r="N710" i="1"/>
  <c r="N711" i="1" a="1"/>
  <c r="N711" i="1" s="1"/>
  <c r="N712" i="1" a="1"/>
  <c r="N712" i="1" s="1"/>
  <c r="N713" i="1" a="1"/>
  <c r="N713" i="1" s="1"/>
  <c r="N714" i="1" a="1"/>
  <c r="N714" i="1" s="1"/>
  <c r="N715" i="1" a="1"/>
  <c r="N715" i="1" s="1"/>
  <c r="N716" i="1" a="1"/>
  <c r="N716" i="1" s="1"/>
  <c r="N717" i="1" a="1"/>
  <c r="N717" i="1"/>
  <c r="N718" i="1" a="1"/>
  <c r="N718" i="1"/>
  <c r="N719" i="1" a="1"/>
  <c r="N719" i="1" s="1"/>
  <c r="N720" i="1" a="1"/>
  <c r="N720" i="1" s="1"/>
  <c r="N721" i="1" a="1"/>
  <c r="N721" i="1" s="1"/>
  <c r="N722" i="1" a="1"/>
  <c r="N722" i="1" s="1"/>
  <c r="N723" i="1" a="1"/>
  <c r="N723" i="1" s="1"/>
  <c r="N724" i="1" a="1"/>
  <c r="N724" i="1"/>
  <c r="N725" i="1" a="1"/>
  <c r="N725" i="1" s="1"/>
  <c r="N726" i="1" a="1"/>
  <c r="N726" i="1"/>
  <c r="N727" i="1" a="1"/>
  <c r="N727" i="1" s="1"/>
  <c r="N728" i="1" a="1"/>
  <c r="N728" i="1" s="1"/>
  <c r="N729" i="1" a="1"/>
  <c r="N729" i="1" s="1"/>
  <c r="N730" i="1" a="1"/>
  <c r="N730" i="1" s="1"/>
  <c r="N731" i="1" a="1"/>
  <c r="N731" i="1" s="1"/>
  <c r="N732" i="1" a="1"/>
  <c r="N732" i="1"/>
  <c r="N733" i="1" a="1"/>
  <c r="N733" i="1"/>
  <c r="N734" i="1" a="1"/>
  <c r="N734" i="1" s="1"/>
  <c r="N735" i="1" a="1"/>
  <c r="N735" i="1" s="1"/>
  <c r="N736" i="1" a="1"/>
  <c r="N736" i="1" s="1"/>
  <c r="N737" i="1" a="1"/>
  <c r="N737" i="1" s="1"/>
  <c r="N738" i="1" a="1"/>
  <c r="N738" i="1" s="1"/>
  <c r="N739" i="1" a="1"/>
  <c r="N739" i="1" s="1"/>
  <c r="N740" i="1" a="1"/>
  <c r="N740" i="1"/>
  <c r="N741" i="1" a="1"/>
  <c r="N741" i="1"/>
  <c r="N742" i="1" a="1"/>
  <c r="N742" i="1"/>
  <c r="N743" i="1" a="1"/>
  <c r="N743" i="1" s="1"/>
  <c r="N744" i="1" a="1"/>
  <c r="N744" i="1" s="1"/>
  <c r="N745" i="1" a="1"/>
  <c r="N745" i="1" s="1"/>
  <c r="N746" i="1" a="1"/>
  <c r="N746" i="1" s="1"/>
  <c r="N747" i="1" a="1"/>
  <c r="N747" i="1" s="1"/>
  <c r="N748" i="1" a="1"/>
  <c r="N748" i="1" s="1"/>
  <c r="N749" i="1" a="1"/>
  <c r="N749" i="1"/>
  <c r="N750" i="1" a="1"/>
  <c r="N750" i="1"/>
  <c r="N751" i="1" a="1"/>
  <c r="N751" i="1" s="1"/>
  <c r="N752" i="1" a="1"/>
  <c r="N752" i="1" s="1"/>
  <c r="N753" i="1" a="1"/>
  <c r="N753" i="1" s="1"/>
  <c r="N754" i="1" a="1"/>
  <c r="N754" i="1" s="1"/>
  <c r="N755" i="1" a="1"/>
  <c r="N755" i="1" s="1"/>
  <c r="N756" i="1" a="1"/>
  <c r="N756" i="1"/>
  <c r="N757" i="1" a="1"/>
  <c r="N757" i="1" s="1"/>
  <c r="N758" i="1" a="1"/>
  <c r="N758" i="1"/>
  <c r="N759" i="1" a="1"/>
  <c r="N759" i="1" s="1"/>
  <c r="N760" i="1" a="1"/>
  <c r="N760" i="1" s="1"/>
  <c r="N761" i="1" a="1"/>
  <c r="N761" i="1" s="1"/>
  <c r="N762" i="1" a="1"/>
  <c r="N762" i="1" s="1"/>
  <c r="N763" i="1" a="1"/>
  <c r="N763" i="1" s="1"/>
  <c r="N764" i="1" a="1"/>
  <c r="N764" i="1"/>
  <c r="N765" i="1" a="1"/>
  <c r="N765" i="1"/>
  <c r="N766" i="1" a="1"/>
  <c r="N766" i="1" s="1"/>
  <c r="N767" i="1" a="1"/>
  <c r="N767" i="1" s="1"/>
  <c r="N768" i="1" a="1"/>
  <c r="N768" i="1" s="1"/>
  <c r="N769" i="1" a="1"/>
  <c r="N769" i="1" s="1"/>
  <c r="N770" i="1" a="1"/>
  <c r="N770" i="1" s="1"/>
  <c r="N771" i="1" a="1"/>
  <c r="N771" i="1" s="1"/>
  <c r="N772" i="1" a="1"/>
  <c r="N772" i="1"/>
  <c r="N773" i="1" a="1"/>
  <c r="N773" i="1"/>
  <c r="N774" i="1" a="1"/>
  <c r="N774" i="1"/>
  <c r="N775" i="1" a="1"/>
  <c r="N775" i="1" s="1"/>
  <c r="N776" i="1" a="1"/>
  <c r="N776" i="1" s="1"/>
  <c r="N777" i="1" a="1"/>
  <c r="N777" i="1" s="1"/>
  <c r="N778" i="1" a="1"/>
  <c r="N778" i="1" s="1"/>
  <c r="N779" i="1" a="1"/>
  <c r="N779" i="1" s="1"/>
  <c r="N780" i="1" a="1"/>
  <c r="N780" i="1" s="1"/>
  <c r="N781" i="1" a="1"/>
  <c r="N781" i="1"/>
  <c r="N782" i="1" a="1"/>
  <c r="N782" i="1"/>
  <c r="N783" i="1" a="1"/>
  <c r="N783" i="1" s="1"/>
  <c r="N784" i="1" a="1"/>
  <c r="N784" i="1" s="1"/>
  <c r="N785" i="1" a="1"/>
  <c r="N785" i="1" s="1"/>
  <c r="N786" i="1" a="1"/>
  <c r="N786" i="1" s="1"/>
  <c r="N787" i="1" a="1"/>
  <c r="N787" i="1" s="1"/>
  <c r="N788" i="1" a="1"/>
  <c r="N788" i="1"/>
  <c r="N789" i="1" a="1"/>
  <c r="N789" i="1" s="1"/>
  <c r="N790" i="1" a="1"/>
  <c r="N790" i="1"/>
  <c r="N791" i="1" a="1"/>
  <c r="N791" i="1" s="1"/>
  <c r="N792" i="1" a="1"/>
  <c r="N792" i="1" s="1"/>
  <c r="N793" i="1" a="1"/>
  <c r="N793" i="1" s="1"/>
  <c r="N794" i="1" a="1"/>
  <c r="N794" i="1" s="1"/>
  <c r="N795" i="1" a="1"/>
  <c r="N795" i="1" s="1"/>
  <c r="N796" i="1" a="1"/>
  <c r="N796" i="1"/>
  <c r="N797" i="1" a="1"/>
  <c r="N797" i="1"/>
  <c r="N798" i="1" a="1"/>
  <c r="N798" i="1" s="1"/>
  <c r="N799" i="1" a="1"/>
  <c r="N799" i="1" s="1"/>
  <c r="N800" i="1" a="1"/>
  <c r="N800" i="1" s="1"/>
  <c r="N801" i="1" a="1"/>
  <c r="N801" i="1" s="1"/>
  <c r="N802" i="1" a="1"/>
  <c r="N802" i="1" s="1"/>
  <c r="N803" i="1" a="1"/>
  <c r="N803" i="1" s="1"/>
  <c r="N804" i="1" a="1"/>
  <c r="N804" i="1"/>
  <c r="N805" i="1" a="1"/>
  <c r="N805" i="1"/>
  <c r="N806" i="1" a="1"/>
  <c r="N806" i="1"/>
  <c r="N807" i="1" a="1"/>
  <c r="N807" i="1" s="1"/>
  <c r="N808" i="1" a="1"/>
  <c r="N808" i="1" s="1"/>
  <c r="N809" i="1" a="1"/>
  <c r="N809" i="1" s="1"/>
  <c r="N810" i="1" a="1"/>
  <c r="N810" i="1" s="1"/>
  <c r="N811" i="1" a="1"/>
  <c r="N811" i="1" s="1"/>
  <c r="N812" i="1" a="1"/>
  <c r="N812" i="1" s="1"/>
  <c r="N813" i="1" a="1"/>
  <c r="N813" i="1"/>
  <c r="N814" i="1" a="1"/>
  <c r="N814" i="1"/>
  <c r="N815" i="1" a="1"/>
  <c r="N815" i="1" s="1"/>
  <c r="N816" i="1" a="1"/>
  <c r="N816" i="1" s="1"/>
  <c r="N817" i="1" a="1"/>
  <c r="N817" i="1" s="1"/>
  <c r="N818" i="1" a="1"/>
  <c r="N818" i="1" s="1"/>
  <c r="N819" i="1" a="1"/>
  <c r="N819" i="1" s="1"/>
  <c r="N820" i="1" a="1"/>
  <c r="N820" i="1"/>
  <c r="N821" i="1" a="1"/>
  <c r="N821" i="1" s="1"/>
  <c r="N822" i="1" a="1"/>
  <c r="N822" i="1"/>
  <c r="N823" i="1" a="1"/>
  <c r="N823" i="1" s="1"/>
  <c r="N824" i="1" a="1"/>
  <c r="N824" i="1" s="1"/>
  <c r="N825" i="1" a="1"/>
  <c r="N825" i="1" s="1"/>
  <c r="N826" i="1" a="1"/>
  <c r="N826" i="1" s="1"/>
  <c r="N827" i="1" a="1"/>
  <c r="N827" i="1" s="1"/>
  <c r="N828" i="1" a="1"/>
  <c r="N828" i="1"/>
  <c r="N829" i="1" a="1"/>
  <c r="N829" i="1"/>
  <c r="N830" i="1" a="1"/>
  <c r="N830" i="1" s="1"/>
  <c r="N831" i="1" a="1"/>
  <c r="N831" i="1" s="1"/>
  <c r="N832" i="1" a="1"/>
  <c r="N832" i="1" s="1"/>
  <c r="N833" i="1" a="1"/>
  <c r="N833" i="1" s="1"/>
  <c r="N834" i="1" a="1"/>
  <c r="N834" i="1" s="1"/>
  <c r="N835" i="1" a="1"/>
  <c r="N835" i="1" s="1"/>
  <c r="N836" i="1" a="1"/>
  <c r="N836" i="1"/>
  <c r="N837" i="1" a="1"/>
  <c r="N837" i="1"/>
  <c r="N838" i="1" a="1"/>
  <c r="N838" i="1"/>
  <c r="N839" i="1" a="1"/>
  <c r="N839" i="1" s="1"/>
  <c r="N840" i="1" a="1"/>
  <c r="N840" i="1" s="1"/>
  <c r="N841" i="1" a="1"/>
  <c r="N841" i="1" s="1"/>
  <c r="N842" i="1" a="1"/>
  <c r="N842" i="1" s="1"/>
  <c r="N843" i="1" a="1"/>
  <c r="N843" i="1" s="1"/>
  <c r="N844" i="1" a="1"/>
  <c r="N844" i="1" s="1"/>
  <c r="N845" i="1" a="1"/>
  <c r="N845" i="1"/>
  <c r="N846" i="1" a="1"/>
  <c r="N846" i="1"/>
  <c r="N847" i="1" a="1"/>
  <c r="N847" i="1" s="1"/>
  <c r="N848" i="1" a="1"/>
  <c r="N848" i="1" s="1"/>
  <c r="N849" i="1" a="1"/>
  <c r="N849" i="1" s="1"/>
  <c r="N850" i="1" a="1"/>
  <c r="N850" i="1" s="1"/>
  <c r="N851" i="1" a="1"/>
  <c r="N851" i="1" s="1"/>
  <c r="N852" i="1" a="1"/>
  <c r="N852" i="1"/>
  <c r="N853" i="1" a="1"/>
  <c r="N853" i="1" s="1"/>
  <c r="N854" i="1" a="1"/>
  <c r="N854" i="1"/>
  <c r="N855" i="1" a="1"/>
  <c r="N855" i="1"/>
  <c r="N856" i="1" a="1"/>
  <c r="N856" i="1"/>
  <c r="N857" i="1" a="1"/>
  <c r="N857" i="1" s="1"/>
  <c r="N858" i="1" a="1"/>
  <c r="N858" i="1"/>
  <c r="N859" i="1" a="1"/>
  <c r="N859" i="1"/>
  <c r="N860" i="1" a="1"/>
  <c r="N860" i="1"/>
  <c r="N861" i="1" a="1"/>
  <c r="N861" i="1" s="1"/>
  <c r="N862" i="1" a="1"/>
  <c r="N862" i="1"/>
  <c r="N863" i="1" a="1"/>
  <c r="N863" i="1"/>
  <c r="N864" i="1" a="1"/>
  <c r="N864" i="1"/>
  <c r="N865" i="1" a="1"/>
  <c r="N865" i="1" s="1"/>
  <c r="N866" i="1" a="1"/>
  <c r="N866" i="1"/>
  <c r="N867" i="1" a="1"/>
  <c r="N867" i="1"/>
  <c r="N868" i="1" a="1"/>
  <c r="N868" i="1"/>
  <c r="N869" i="1" a="1"/>
  <c r="N869" i="1" s="1"/>
  <c r="N870" i="1" a="1"/>
  <c r="N870" i="1"/>
  <c r="N871" i="1" a="1"/>
  <c r="N871" i="1"/>
  <c r="N872" i="1" a="1"/>
  <c r="N872" i="1"/>
  <c r="N873" i="1" a="1"/>
  <c r="N873" i="1" s="1"/>
  <c r="N874" i="1" a="1"/>
  <c r="N874" i="1"/>
  <c r="N875" i="1" a="1"/>
  <c r="N875" i="1"/>
  <c r="N876" i="1" a="1"/>
  <c r="N876" i="1"/>
  <c r="N877" i="1" a="1"/>
  <c r="N877" i="1" s="1"/>
  <c r="N878" i="1" a="1"/>
  <c r="N878" i="1"/>
  <c r="N879" i="1" a="1"/>
  <c r="N879" i="1"/>
  <c r="N880" i="1" a="1"/>
  <c r="N880" i="1"/>
  <c r="N881" i="1" a="1"/>
  <c r="N881" i="1" s="1"/>
  <c r="N882" i="1" a="1"/>
  <c r="N882" i="1"/>
  <c r="N883" i="1" a="1"/>
  <c r="N883" i="1"/>
  <c r="N884" i="1" a="1"/>
  <c r="N884" i="1"/>
  <c r="N885" i="1" a="1"/>
  <c r="N885" i="1" s="1"/>
  <c r="N886" i="1" a="1"/>
  <c r="N886" i="1"/>
  <c r="N887" i="1" a="1"/>
  <c r="N887" i="1"/>
  <c r="N888" i="1" a="1"/>
  <c r="N888" i="1"/>
  <c r="N889" i="1" a="1"/>
  <c r="N889" i="1" s="1"/>
  <c r="N890" i="1" a="1"/>
  <c r="N890" i="1"/>
  <c r="N891" i="1" a="1"/>
  <c r="N891" i="1"/>
  <c r="N892" i="1" a="1"/>
  <c r="N892" i="1"/>
  <c r="N893" i="1" a="1"/>
  <c r="N893" i="1" s="1"/>
  <c r="N894" i="1" a="1"/>
  <c r="N894" i="1"/>
  <c r="N895" i="1" a="1"/>
  <c r="N895" i="1"/>
  <c r="N896" i="1" a="1"/>
  <c r="N896" i="1"/>
  <c r="N897" i="1" a="1"/>
  <c r="N897" i="1" s="1"/>
  <c r="N898" i="1" a="1"/>
  <c r="N898" i="1"/>
  <c r="N899" i="1" a="1"/>
  <c r="N899" i="1"/>
  <c r="N900" i="1" a="1"/>
  <c r="N900" i="1"/>
  <c r="N901" i="1" a="1"/>
  <c r="N901" i="1" s="1"/>
  <c r="N902" i="1" a="1"/>
  <c r="N902" i="1"/>
  <c r="N903" i="1" a="1"/>
  <c r="N903" i="1"/>
  <c r="N904" i="1" a="1"/>
  <c r="N904" i="1"/>
  <c r="N905" i="1" a="1"/>
  <c r="N905" i="1" s="1"/>
  <c r="N906" i="1" a="1"/>
  <c r="N906" i="1"/>
  <c r="N907" i="1" a="1"/>
  <c r="N907" i="1"/>
  <c r="N908" i="1" a="1"/>
  <c r="N908" i="1"/>
  <c r="N909" i="1" a="1"/>
  <c r="N909" i="1" s="1"/>
  <c r="N910" i="1" a="1"/>
  <c r="N910" i="1"/>
  <c r="N911" i="1" a="1"/>
  <c r="N911" i="1"/>
  <c r="N912" i="1" a="1"/>
  <c r="N912" i="1"/>
  <c r="N913" i="1" a="1"/>
  <c r="N913" i="1" s="1"/>
  <c r="N914" i="1" a="1"/>
  <c r="N914" i="1"/>
  <c r="N915" i="1" a="1"/>
  <c r="N915" i="1"/>
  <c r="N916" i="1" a="1"/>
  <c r="N916" i="1"/>
  <c r="N917" i="1" a="1"/>
  <c r="N917" i="1" s="1"/>
  <c r="N918" i="1" a="1"/>
  <c r="N918" i="1"/>
  <c r="N919" i="1" a="1"/>
  <c r="N919" i="1"/>
  <c r="N920" i="1" a="1"/>
  <c r="N920" i="1"/>
  <c r="N921" i="1" a="1"/>
  <c r="N921" i="1" s="1"/>
  <c r="N922" i="1" a="1"/>
  <c r="N922" i="1"/>
  <c r="N923" i="1" a="1"/>
  <c r="N923" i="1"/>
  <c r="N924" i="1" a="1"/>
  <c r="N924" i="1"/>
  <c r="N925" i="1" a="1"/>
  <c r="N925" i="1" s="1"/>
  <c r="N926" i="1" a="1"/>
  <c r="N926" i="1"/>
  <c r="N927" i="1" a="1"/>
  <c r="N927" i="1"/>
  <c r="N928" i="1" a="1"/>
  <c r="N928" i="1"/>
  <c r="N929" i="1" a="1"/>
  <c r="N929" i="1" s="1"/>
  <c r="N930" i="1" a="1"/>
  <c r="N930" i="1"/>
  <c r="N931" i="1" a="1"/>
  <c r="N931" i="1"/>
  <c r="N932" i="1" a="1"/>
  <c r="N932" i="1"/>
  <c r="N933" i="1" a="1"/>
  <c r="N933" i="1" s="1"/>
  <c r="N934" i="1" a="1"/>
  <c r="N934" i="1"/>
  <c r="N935" i="1" a="1"/>
  <c r="N935" i="1"/>
  <c r="N936" i="1" a="1"/>
  <c r="N936" i="1"/>
  <c r="N937" i="1" a="1"/>
  <c r="N937" i="1" s="1"/>
  <c r="N938" i="1" a="1"/>
  <c r="N938" i="1"/>
  <c r="N939" i="1" a="1"/>
  <c r="N939" i="1"/>
  <c r="N940" i="1" a="1"/>
  <c r="N940" i="1"/>
  <c r="N941" i="1" a="1"/>
  <c r="N941" i="1" s="1"/>
  <c r="N942" i="1" a="1"/>
  <c r="N942" i="1"/>
  <c r="N943" i="1" a="1"/>
  <c r="N943" i="1"/>
  <c r="N944" i="1" a="1"/>
  <c r="N944" i="1"/>
  <c r="N945" i="1" a="1"/>
  <c r="N945" i="1" s="1"/>
  <c r="N946" i="1" a="1"/>
  <c r="N946" i="1"/>
  <c r="N947" i="1" a="1"/>
  <c r="N947" i="1"/>
  <c r="N948" i="1" a="1"/>
  <c r="N948" i="1"/>
  <c r="N949" i="1" a="1"/>
  <c r="N949" i="1" s="1"/>
  <c r="N950" i="1" a="1"/>
  <c r="N950" i="1"/>
  <c r="N951" i="1" a="1"/>
  <c r="N951" i="1"/>
  <c r="N952" i="1" a="1"/>
  <c r="N952" i="1"/>
  <c r="N953" i="1" a="1"/>
  <c r="N953" i="1" s="1"/>
  <c r="N954" i="1" a="1"/>
  <c r="N954" i="1"/>
  <c r="N955" i="1" a="1"/>
  <c r="N955" i="1"/>
  <c r="N956" i="1" a="1"/>
  <c r="N956" i="1"/>
  <c r="N957" i="1" a="1"/>
  <c r="N957" i="1" s="1"/>
  <c r="N958" i="1" a="1"/>
  <c r="N958" i="1"/>
  <c r="N959" i="1" a="1"/>
  <c r="N959" i="1"/>
  <c r="N960" i="1" a="1"/>
  <c r="N960" i="1"/>
  <c r="N961" i="1" a="1"/>
  <c r="N961" i="1" s="1"/>
  <c r="N962" i="1" a="1"/>
  <c r="N962" i="1"/>
  <c r="N963" i="1" a="1"/>
  <c r="N963" i="1"/>
  <c r="N964" i="1" a="1"/>
  <c r="N964" i="1"/>
  <c r="N965" i="1" a="1"/>
  <c r="N965" i="1" s="1"/>
  <c r="N966" i="1" a="1"/>
  <c r="N966" i="1"/>
  <c r="N967" i="1" a="1"/>
  <c r="N967" i="1"/>
  <c r="N968" i="1" a="1"/>
  <c r="N968" i="1"/>
  <c r="N969" i="1" a="1"/>
  <c r="N969" i="1" s="1"/>
  <c r="N970" i="1" a="1"/>
  <c r="N970" i="1"/>
  <c r="N971" i="1" a="1"/>
  <c r="N971" i="1"/>
  <c r="N972" i="1" a="1"/>
  <c r="N972" i="1"/>
  <c r="N973" i="1" a="1"/>
  <c r="N973" i="1" s="1"/>
  <c r="N974" i="1" a="1"/>
  <c r="N974" i="1"/>
  <c r="N975" i="1" a="1"/>
  <c r="N975" i="1"/>
  <c r="N976" i="1" a="1"/>
  <c r="N976" i="1"/>
  <c r="N977" i="1" a="1"/>
  <c r="N977" i="1" s="1"/>
  <c r="N978" i="1" a="1"/>
  <c r="N978" i="1"/>
  <c r="N979" i="1" a="1"/>
  <c r="N979" i="1"/>
  <c r="N980" i="1" a="1"/>
  <c r="N980" i="1"/>
  <c r="N981" i="1" a="1"/>
  <c r="N981" i="1" s="1"/>
  <c r="N982" i="1" a="1"/>
  <c r="N982" i="1"/>
  <c r="N983" i="1" a="1"/>
  <c r="N983" i="1"/>
  <c r="N984" i="1" a="1"/>
  <c r="N984" i="1"/>
  <c r="N985" i="1" a="1"/>
  <c r="N985" i="1" s="1"/>
  <c r="N986" i="1" a="1"/>
  <c r="N986" i="1"/>
  <c r="N987" i="1" a="1"/>
  <c r="N987" i="1"/>
  <c r="N988" i="1" a="1"/>
  <c r="N988" i="1"/>
  <c r="N989" i="1" a="1"/>
  <c r="N989" i="1" s="1"/>
  <c r="N990" i="1" a="1"/>
  <c r="N990" i="1"/>
  <c r="N991" i="1" a="1"/>
  <c r="N991" i="1"/>
  <c r="N992" i="1" a="1"/>
  <c r="N992" i="1"/>
  <c r="N993" i="1" a="1"/>
  <c r="N993" i="1" s="1"/>
  <c r="N994" i="1" a="1"/>
  <c r="N994" i="1"/>
  <c r="N995" i="1" a="1"/>
  <c r="N995" i="1"/>
  <c r="N996" i="1" a="1"/>
  <c r="N996" i="1"/>
  <c r="N997" i="1" a="1"/>
  <c r="N997" i="1" s="1"/>
  <c r="N998" i="1" a="1"/>
  <c r="N998" i="1" s="1"/>
  <c r="N999" i="1" a="1"/>
  <c r="N999" i="1"/>
  <c r="N1000" i="1" a="1"/>
  <c r="N1000" i="1"/>
  <c r="N1001" i="1" a="1"/>
  <c r="N1001"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M7" i="1"/>
  <c r="G5" i="3"/>
  <c r="H5" i="3"/>
  <c r="E5" i="3"/>
  <c r="A5" i="3"/>
  <c r="C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<sst xmlns="http://schemas.openxmlformats.org/spreadsheetml/2006/main" count="6080" uniqueCount="1780">
  <si>
    <t>Patient ID</t>
  </si>
  <si>
    <t>Patient Name</t>
  </si>
  <si>
    <t>Age</t>
  </si>
  <si>
    <t>Gender</t>
  </si>
  <si>
    <t>Admission Date</t>
  </si>
  <si>
    <t>Discharge Date</t>
  </si>
  <si>
    <t>Department</t>
  </si>
  <si>
    <t>Diagnosis</t>
  </si>
  <si>
    <t>Total Bill Amount</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</si>
  <si>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</si>
  <si>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</si>
  <si>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</si>
  <si>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</si>
  <si>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</si>
  <si>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</si>
  <si>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</si>
  <si>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</si>
  <si>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</si>
  <si>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</si>
  <si>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</si>
  <si>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</si>
  <si>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</si>
  <si>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</si>
  <si>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</si>
  <si>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</si>
  <si>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</si>
  <si>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</si>
  <si>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</si>
  <si>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</si>
  <si>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</si>
  <si>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</si>
  <si>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</si>
  <si>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</si>
  <si>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</si>
  <si>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</si>
  <si>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</si>
  <si>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</si>
  <si>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</si>
  <si>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</si>
  <si>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</si>
  <si>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</si>
  <si>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</si>
  <si>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</si>
  <si>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</si>
  <si>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</si>
  <si>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</si>
  <si>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</si>
  <si>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</si>
  <si>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</si>
  <si>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</si>
  <si>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</si>
  <si>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</si>
  <si>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</si>
  <si>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</si>
  <si>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</si>
  <si>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</si>
  <si>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</si>
  <si>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</si>
  <si>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</si>
  <si>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</si>
  <si>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</si>
  <si>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</si>
  <si>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</si>
  <si>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</si>
  <si>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</si>
  <si>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</si>
  <si>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</si>
  <si>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</si>
  <si>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</si>
  <si>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</si>
  <si>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</si>
  <si>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</si>
  <si>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</si>
  <si>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</si>
  <si>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</si>
  <si>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</si>
  <si>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</si>
  <si>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</si>
  <si>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</si>
  <si>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</si>
  <si>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</si>
  <si>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</si>
  <si>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</si>
  <si>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</si>
  <si>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</si>
  <si>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</si>
  <si>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</si>
  <si>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</si>
  <si>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</si>
  <si>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</si>
  <si>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</si>
  <si>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</si>
  <si>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</si>
  <si>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</si>
  <si>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</si>
  <si>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</si>
  <si>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</si>
  <si>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</si>
  <si>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</si>
  <si>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</si>
  <si>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</si>
  <si>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</si>
  <si>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</si>
  <si>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</si>
  <si>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</si>
  <si>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</si>
  <si>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</si>
  <si>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</si>
  <si>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</si>
  <si>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</si>
  <si>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</si>
  <si>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</si>
  <si>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</si>
  <si>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</si>
  <si>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</si>
  <si>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</si>
  <si>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</si>
  <si>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</si>
  <si>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</si>
  <si>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</si>
  <si>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</si>
  <si>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</si>
  <si>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</si>
  <si>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</si>
  <si>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</si>
  <si>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</si>
  <si>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</si>
  <si>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</si>
  <si>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</si>
  <si>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</si>
  <si>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</si>
  <si>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</si>
  <si>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</si>
  <si>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</si>
  <si>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</si>
  <si>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</si>
  <si>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</si>
  <si>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</si>
  <si>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</si>
  <si>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</si>
  <si>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</si>
  <si>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</si>
  <si>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</si>
  <si>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</si>
  <si>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</si>
  <si>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</si>
  <si>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</si>
  <si>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</si>
  <si>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</si>
  <si>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</si>
  <si>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</si>
  <si>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</si>
  <si>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</si>
  <si>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</si>
  <si>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</si>
  <si>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</si>
  <si>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</si>
  <si>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</si>
  <si>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</si>
  <si>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</si>
  <si>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</si>
  <si>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</si>
  <si>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</si>
  <si>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</si>
  <si>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</si>
  <si>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</si>
  <si>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</si>
  <si>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</si>
  <si>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</si>
  <si>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</si>
  <si>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</si>
  <si>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</si>
  <si>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</si>
  <si>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</si>
  <si>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</si>
  <si>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</si>
  <si>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</si>
  <si>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</si>
  <si>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</si>
  <si>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</si>
  <si>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</si>
  <si>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</si>
  <si>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</si>
  <si>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</si>
  <si>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</si>
  <si>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</si>
  <si>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</si>
  <si>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</si>
  <si>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</si>
  <si>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</si>
  <si>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</si>
  <si>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</si>
  <si>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</si>
  <si>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</si>
  <si>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</si>
  <si>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</si>
  <si>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</si>
  <si>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</si>
  <si>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</si>
  <si>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</si>
  <si>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</si>
  <si>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</si>
  <si>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</si>
  <si>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</si>
  <si>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</si>
  <si>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</si>
  <si>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</si>
  <si>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</si>
  <si>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</si>
  <si>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</si>
  <si>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</si>
  <si>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</si>
  <si>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</si>
  <si>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</si>
  <si>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</si>
  <si>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</si>
  <si>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</si>
  <si>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</si>
  <si>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</si>
  <si>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</si>
  <si>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</si>
  <si>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</si>
  <si>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</si>
  <si>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</si>
  <si>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</si>
  <si>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</si>
  <si>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</si>
  <si>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</si>
  <si>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</si>
  <si>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</si>
  <si>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</si>
  <si>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</si>
  <si>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</si>
  <si>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</si>
  <si>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</si>
  <si>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</si>
  <si>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</si>
  <si>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</si>
  <si>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</si>
  <si>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</si>
  <si>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</si>
  <si>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</si>
  <si>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</si>
  <si>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</si>
  <si>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</si>
  <si>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</si>
  <si>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</si>
  <si>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</si>
  <si>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</si>
  <si>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</si>
  <si>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</si>
  <si>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</si>
  <si>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</si>
  <si>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</si>
  <si>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</si>
  <si>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</si>
  <si>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</si>
  <si>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</si>
  <si>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</si>
  <si>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</si>
  <si>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</si>
  <si>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</si>
  <si>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</si>
  <si>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</si>
  <si>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</si>
  <si>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</si>
  <si>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</si>
  <si>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</si>
  <si>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</si>
  <si>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</si>
  <si>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</si>
  <si>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</si>
  <si>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</si>
  <si>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</si>
  <si>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</si>
  <si>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</si>
  <si>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</si>
  <si>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</si>
  <si>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</si>
  <si>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</si>
  <si>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</si>
  <si>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</si>
  <si>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</si>
  <si>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</si>
  <si>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</si>
  <si>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</si>
  <si>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</si>
  <si>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</si>
  <si>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</si>
  <si>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</si>
  <si>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</si>
  <si>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</si>
  <si>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</si>
  <si>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</si>
  <si>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</si>
  <si>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</si>
  <si>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</si>
  <si>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</si>
  <si>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</si>
  <si>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</si>
  <si>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</si>
  <si>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</si>
  <si>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</si>
  <si>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</si>
  <si>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</si>
  <si>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</si>
  <si>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</si>
  <si>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</si>
  <si>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</si>
  <si>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</si>
  <si>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</si>
  <si>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</si>
  <si>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</si>
  <si>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</si>
  <si>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</si>
  <si>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</si>
  <si>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</si>
  <si>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</si>
  <si>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</si>
  <si>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</si>
  <si>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</si>
  <si>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</si>
  <si>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</si>
  <si>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</si>
  <si>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</si>
  <si>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</si>
  <si>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</si>
  <si>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</si>
  <si>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</si>
  <si>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</si>
  <si>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</si>
  <si>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</si>
  <si>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</si>
  <si>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</si>
  <si>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</si>
  <si>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</si>
  <si>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</si>
  <si>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</si>
  <si>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</si>
  <si>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</si>
  <si>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</si>
  <si>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</si>
  <si>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</si>
  <si>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</si>
  <si>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</si>
  <si>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</si>
  <si>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</si>
  <si>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</si>
  <si>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</si>
  <si>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</si>
  <si>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</si>
  <si>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</si>
  <si>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</si>
  <si>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</si>
  <si>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</si>
  <si>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</si>
  <si>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</si>
  <si>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</si>
  <si>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</si>
  <si>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</si>
  <si>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</si>
  <si>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</si>
  <si>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</si>
  <si>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</si>
  <si>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</si>
  <si>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</si>
  <si>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</si>
  <si>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</si>
  <si>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</si>
  <si>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</si>
  <si>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</si>
  <si>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</si>
  <si>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</si>
  <si>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</si>
  <si>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</si>
  <si>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</si>
  <si>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</si>
  <si>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</si>
  <si>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</si>
  <si>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</si>
  <si>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</si>
  <si>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</si>
  <si>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</si>
  <si>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</si>
  <si>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</si>
  <si>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</si>
  <si>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</si>
  <si>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</si>
  <si>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</si>
  <si>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</si>
  <si>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</si>
  <si>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</si>
  <si>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</si>
  <si>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</si>
  <si>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</si>
  <si>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</si>
  <si>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</si>
  <si>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</si>
  <si>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</si>
  <si>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</si>
  <si>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</si>
  <si>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</si>
  <si>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</si>
  <si>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</si>
  <si>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</si>
  <si>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</si>
  <si>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</si>
  <si>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</si>
  <si>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</si>
  <si>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</si>
  <si>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</si>
  <si>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</si>
  <si>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</si>
  <si>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</si>
  <si>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</si>
  <si>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</si>
  <si>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</si>
  <si>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</si>
  <si>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</si>
  <si>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</si>
  <si>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</si>
  <si>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</si>
  <si>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</si>
  <si>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</si>
  <si>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</si>
  <si>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</si>
  <si>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</si>
  <si>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</si>
  <si>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</si>
  <si>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</si>
  <si>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</si>
  <si>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</si>
  <si>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</si>
  <si>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</si>
  <si>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</si>
  <si>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</si>
  <si>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</si>
  <si>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</si>
  <si>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</si>
  <si>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</si>
  <si>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</si>
  <si>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</si>
  <si>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</si>
  <si>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</si>
  <si>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</si>
  <si>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</si>
  <si>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</si>
  <si>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</si>
  <si>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</si>
  <si>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</si>
  <si>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</si>
  <si>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</si>
  <si>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</si>
  <si>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</si>
  <si>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</si>
  <si>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</si>
  <si>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</si>
  <si>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</si>
  <si>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</si>
  <si>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</si>
  <si>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</si>
  <si>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</si>
  <si>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</si>
  <si>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</si>
  <si>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</si>
  <si>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</si>
  <si>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</si>
  <si>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</si>
  <si>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</si>
  <si>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</si>
  <si>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</si>
  <si>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</si>
  <si>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</si>
  <si>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</si>
  <si>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</si>
  <si>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</si>
  <si>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</si>
  <si>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</si>
  <si>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</si>
  <si>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</si>
  <si>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</si>
  <si>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</si>
  <si>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</si>
  <si>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</si>
  <si>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</si>
  <si>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</si>
  <si>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</si>
  <si>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</si>
  <si>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</si>
  <si>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</si>
  <si>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</si>
  <si>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</si>
  <si>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</si>
  <si>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</si>
  <si>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</si>
  <si>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</si>
  <si>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</si>
  <si>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</si>
  <si>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</si>
  <si>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</si>
  <si>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</si>
  <si>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</si>
  <si>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</si>
  <si>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</si>
  <si>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</si>
  <si>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</si>
  <si>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</si>
  <si>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</si>
  <si>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</si>
  <si>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</si>
  <si>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</si>
  <si>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</si>
  <si>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</si>
  <si>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</si>
  <si>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</si>
  <si>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</si>
  <si>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</si>
  <si>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</si>
  <si>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</si>
  <si>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</si>
  <si>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</si>
  <si>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</si>
  <si>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</si>
  <si>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</si>
  <si>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</si>
  <si>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</si>
  <si>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</si>
  <si>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</si>
  <si>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</si>
  <si>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</si>
  <si>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</si>
  <si>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</si>
  <si>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</si>
  <si>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</si>
  <si>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</si>
  <si>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</si>
  <si>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</si>
  <si>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</si>
  <si>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</si>
  <si>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</si>
  <si>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</si>
  <si>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</si>
  <si>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</si>
  <si>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</si>
  <si>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</si>
  <si>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</si>
  <si>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</si>
  <si>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</si>
  <si>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</si>
  <si>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</si>
  <si>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</si>
  <si>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</si>
  <si>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</si>
  <si>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</si>
  <si>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</si>
  <si>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</si>
  <si>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</si>
  <si>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</si>
  <si>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</si>
  <si>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</si>
  <si>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</si>
  <si>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</si>
  <si>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</si>
  <si>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</si>
  <si>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</si>
  <si>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</si>
  <si>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</si>
  <si>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</si>
  <si>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</si>
  <si>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</si>
  <si>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</si>
  <si>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</si>
  <si>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</si>
  <si>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</si>
  <si>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</si>
  <si>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</si>
  <si>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</si>
  <si>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</si>
  <si>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</si>
  <si>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</si>
  <si>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</si>
  <si>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</si>
  <si>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</si>
  <si>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</si>
  <si>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</si>
  <si>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</si>
  <si>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</si>
  <si>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</si>
  <si>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</si>
  <si>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</si>
  <si>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</si>
  <si>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</si>
  <si>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</si>
  <si>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</si>
  <si>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</si>
  <si>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</si>
  <si>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</si>
  <si>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</si>
  <si>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</si>
  <si>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</si>
  <si>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</si>
  <si>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</si>
  <si>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</si>
  <si>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</si>
  <si>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</si>
  <si>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</si>
  <si>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</si>
  <si>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</si>
  <si>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</si>
  <si>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</si>
  <si>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</si>
  <si>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</si>
  <si>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</si>
  <si>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</si>
  <si>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</si>
  <si>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</si>
  <si>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</si>
  <si>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</si>
  <si>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</si>
  <si>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</si>
  <si>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</si>
  <si>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</si>
  <si>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</si>
  <si>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</si>
  <si>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</si>
  <si>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</si>
  <si>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</si>
  <si>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</si>
  <si>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</si>
  <si>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</si>
  <si>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</si>
  <si>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</si>
  <si>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</si>
  <si>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</si>
  <si>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</si>
  <si>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</si>
  <si>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</si>
  <si>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</si>
  <si>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</si>
  <si>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</si>
  <si>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</si>
  <si>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</si>
  <si>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</si>
  <si>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</si>
  <si>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</si>
  <si>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</si>
  <si>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</si>
  <si>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</si>
  <si>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</si>
  <si>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</si>
  <si>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</si>
  <si>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</si>
  <si>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</si>
  <si>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</si>
  <si>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</si>
  <si>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</si>
  <si>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</si>
  <si>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</si>
  <si>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</si>
  <si>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</si>
  <si>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</si>
  <si>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</si>
  <si>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</si>
  <si>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</si>
  <si>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</si>
  <si>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</si>
  <si>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</si>
  <si>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</si>
  <si>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</si>
  <si>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</si>
  <si>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</si>
  <si>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</si>
  <si>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</si>
  <si>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</si>
  <si>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</si>
  <si>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</si>
  <si>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</si>
  <si>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</si>
  <si>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</si>
  <si>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</si>
  <si>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</si>
  <si>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</si>
  <si>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</si>
  <si>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</si>
  <si>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</si>
  <si>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</si>
  <si>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</si>
  <si>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</si>
  <si>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</si>
  <si>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</si>
  <si>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</si>
  <si>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</si>
  <si>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</si>
  <si>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</si>
  <si>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</si>
  <si>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</si>
  <si>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</si>
  <si>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</si>
  <si>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</si>
  <si>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</si>
  <si>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</si>
  <si>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</si>
  <si>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</si>
  <si>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</si>
  <si>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</si>
  <si>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</si>
  <si>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</si>
  <si>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</si>
  <si>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</si>
  <si>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</si>
  <si>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</si>
  <si>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</si>
  <si>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</si>
  <si>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</si>
  <si>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</si>
  <si>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</si>
  <si>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</si>
  <si>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</si>
  <si>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</si>
  <si>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</si>
  <si>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</si>
  <si>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</si>
  <si>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</si>
  <si>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</si>
  <si>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</si>
  <si>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</si>
  <si>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</si>
  <si>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</si>
  <si>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</si>
  <si>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</si>
  <si>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</si>
  <si>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</si>
  <si>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</si>
  <si>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</si>
  <si>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</si>
  <si>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</si>
  <si>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</si>
  <si>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</si>
  <si>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</si>
  <si>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</si>
  <si>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</si>
  <si>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</si>
  <si>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</si>
  <si>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</si>
  <si>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</si>
  <si>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</si>
  <si>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</si>
  <si>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</si>
  <si>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</si>
  <si>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</si>
  <si>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</si>
  <si>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</si>
  <si>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</si>
  <si>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</si>
  <si>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</si>
  <si>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</si>
  <si>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</si>
  <si>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</si>
  <si>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</si>
  <si>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</si>
  <si>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</si>
  <si>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</si>
  <si>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</si>
  <si>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</si>
  <si>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</si>
  <si>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</si>
  <si>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</si>
  <si>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</si>
  <si>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</si>
  <si>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</si>
  <si>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</si>
  <si>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</si>
  <si>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</si>
  <si>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</si>
  <si>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</si>
  <si>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</si>
  <si>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</si>
  <si>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</si>
  <si>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</si>
  <si>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</si>
  <si>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</si>
  <si>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</si>
  <si>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</si>
  <si>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</si>
  <si>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</si>
  <si>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</si>
  <si>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</si>
  <si>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</si>
  <si>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</si>
  <si>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</si>
  <si>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</si>
  <si>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</si>
  <si>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</si>
  <si>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</si>
  <si>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</si>
  <si>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</si>
  <si>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</si>
  <si>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</si>
  <si>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</si>
  <si>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</si>
  <si>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</si>
  <si>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</si>
  <si>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</si>
  <si>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</si>
  <si>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</si>
  <si>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</si>
  <si>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</si>
  <si>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</si>
  <si>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</si>
  <si>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</si>
  <si>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</si>
  <si>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</si>
  <si>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</si>
  <si>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</si>
  <si>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</si>
  <si>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</si>
  <si>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</si>
  <si>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</si>
  <si>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</si>
  <si>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</si>
  <si>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</si>
  <si>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</si>
  <si>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</si>
  <si>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</si>
  <si>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</si>
  <si>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</si>
  <si>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</si>
  <si>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</si>
  <si>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</si>
  <si>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</si>
  <si>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</si>
  <si>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</si>
  <si>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</si>
  <si>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</si>
  <si>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</si>
  <si>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</si>
  <si>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</si>
  <si>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</si>
  <si>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</si>
  <si>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</si>
  <si>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</si>
  <si>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</si>
  <si>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</si>
  <si>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</si>
  <si>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</si>
  <si>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</si>
  <si>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</si>
  <si>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</si>
  <si>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</si>
  <si>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</si>
  <si>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</si>
  <si>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</si>
  <si>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</si>
  <si>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</si>
  <si>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</si>
  <si>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</si>
  <si>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</si>
  <si>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</si>
  <si>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</si>
  <si>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</si>
  <si>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</si>
  <si>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</si>
  <si>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</si>
  <si>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</si>
  <si>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</si>
  <si>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</si>
  <si>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</si>
  <si>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</si>
  <si>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</si>
  <si>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</si>
  <si>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</si>
  <si>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</si>
  <si>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</si>
  <si>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</si>
  <si>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</si>
  <si>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</si>
  <si>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</si>
  <si>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</si>
  <si>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</si>
  <si>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</si>
  <si>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</si>
  <si>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</si>
  <si>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</si>
  <si>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</si>
  <si>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</si>
  <si>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</si>
  <si>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</si>
  <si>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</si>
  <si>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</si>
  <si>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</si>
  <si>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</si>
  <si>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</si>
  <si>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</si>
  <si>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</si>
  <si>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</si>
  <si>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</si>
  <si>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</si>
  <si>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</si>
  <si>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</si>
  <si>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</si>
  <si>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</si>
  <si>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</si>
  <si>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</si>
  <si>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</si>
  <si>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</si>
  <si>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</si>
  <si>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</si>
  <si>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</si>
  <si>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</si>
  <si>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</si>
  <si>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</si>
  <si>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</si>
  <si>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</si>
  <si>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</si>
  <si>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</si>
  <si>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</si>
  <si>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</si>
  <si>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</si>
  <si>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</si>
  <si>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</si>
  <si>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</si>
  <si>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</si>
  <si>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</si>
  <si>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</si>
  <si>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</si>
  <si>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</si>
  <si>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</si>
  <si>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</si>
  <si>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</si>
  <si>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</si>
  <si>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</si>
  <si>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</si>
  <si>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</si>
  <si>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</si>
  <si>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</si>
  <si>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</si>
  <si>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</si>
  <si>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</si>
  <si>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</si>
  <si>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</si>
  <si>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</si>
  <si>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</si>
  <si>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</si>
  <si>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</si>
  <si>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</si>
  <si>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</si>
  <si>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</si>
  <si>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</si>
  <si>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</si>
  <si>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</si>
  <si>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</si>
  <si>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</si>
  <si>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</si>
  <si>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</si>
  <si>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</si>
  <si>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</si>
  <si>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</si>
  <si>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</si>
  <si>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</si>
  <si>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</si>
  <si>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</si>
  <si>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</si>
  <si>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</si>
  <si>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</si>
  <si>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</si>
  <si>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</si>
  <si>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</si>
  <si>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</si>
  <si>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</si>
  <si>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</si>
  <si>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</si>
  <si>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</si>
  <si>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</si>
  <si>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</si>
  <si>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</si>
  <si>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</si>
  <si>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</si>
  <si>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</si>
  <si>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</si>
  <si>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</si>
  <si>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</si>
  <si>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</si>
  <si>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</si>
  <si>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</si>
  <si>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</si>
  <si>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</si>
  <si>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</si>
  <si>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</si>
  <si>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</si>
  <si>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</si>
  <si>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</si>
  <si>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</si>
  <si>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</si>
  <si>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</si>
  <si>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</si>
  <si>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</si>
  <si>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</si>
  <si>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</si>
  <si>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</si>
  <si>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</si>
  <si>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</si>
  <si>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</si>
  <si>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</si>
  <si>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</si>
  <si>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</si>
  <si>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</si>
  <si>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</si>
  <si>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</si>
  <si>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</si>
  <si>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</si>
  <si>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</si>
  <si>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</si>
  <si>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</si>
  <si>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</si>
  <si>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</si>
  <si>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</si>
  <si>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</si>
  <si>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</si>
  <si>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</si>
  <si>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</si>
  <si>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</si>
  <si>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</si>
  <si>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</si>
  <si>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</si>
  <si>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</si>
  <si>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</si>
  <si>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</si>
  <si>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</si>
  <si>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</si>
  <si>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</si>
  <si>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</si>
  <si>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</si>
  <si>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</si>
  <si>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</si>
  <si>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</si>
  <si>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</si>
  <si>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</si>
  <si>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</si>
  <si>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</si>
  <si>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</si>
  <si>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</si>
  <si>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</si>
  <si>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</si>
  <si>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</si>
  <si>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</si>
  <si>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</si>
  <si>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</si>
  <si>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</si>
  <si>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</si>
  <si>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</si>
  <si>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</si>
  <si>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</si>
  <si>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</si>
  <si>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</si>
  <si>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</si>
  <si>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</si>
  <si>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</si>
  <si>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</si>
  <si>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</si>
  <si>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</si>
  <si>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</si>
  <si>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</si>
  <si>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</si>
  <si>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</si>
  <si>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</si>
  <si>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</si>
  <si>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</si>
  <si>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</si>
  <si>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</si>
  <si>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</si>
  <si>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</si>
  <si>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</si>
  <si>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</si>
  <si>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</si>
  <si>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</si>
  <si>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</si>
  <si>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</si>
  <si>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</si>
  <si>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</si>
  <si>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</si>
  <si>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</si>
  <si>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</si>
  <si>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</si>
  <si>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</si>
  <si>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</si>
  <si>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</si>
  <si>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</si>
  <si>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</si>
  <si>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</si>
  <si>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</si>
  <si>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</si>
  <si>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</si>
  <si>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</si>
  <si>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</si>
  <si>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</si>
  <si>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</si>
  <si>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</si>
  <si>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</si>
  <si>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</si>
  <si>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</si>
  <si>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</si>
  <si>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</si>
  <si>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</si>
  <si>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</si>
  <si>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</si>
  <si>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</si>
  <si>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</si>
  <si>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</si>
  <si>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</si>
  <si>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</si>
  <si>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</si>
  <si>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</si>
  <si>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</si>
  <si>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</si>
  <si>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</si>
  <si>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</si>
  <si>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</si>
  <si>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</si>
  <si>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</si>
  <si>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</si>
  <si>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</si>
  <si>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</si>
  <si>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</si>
  <si>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</si>
  <si>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</si>
  <si>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</si>
  <si>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</si>
  <si>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</si>
  <si>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</si>
  <si>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</si>
  <si>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</si>
  <si>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</si>
  <si>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</si>
  <si>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</si>
  <si>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</si>
  <si>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</si>
  <si>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</si>
  <si>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</si>
  <si>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</si>
  <si>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</si>
  <si>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</si>
  <si>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</si>
  <si>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</si>
  <si>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</si>
  <si>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</si>
  <si>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</si>
  <si>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</si>
  <si>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</si>
  <si>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</si>
  <si>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</si>
  <si>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</si>
  <si>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</si>
  <si>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</si>
  <si>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</si>
  <si>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</si>
  <si>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</si>
  <si>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</si>
  <si>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</si>
  <si>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</si>
  <si>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</si>
  <si>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</si>
  <si>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</si>
  <si>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</si>
  <si>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</si>
  <si>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</si>
  <si>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</si>
  <si>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</si>
  <si>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</si>
  <si>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</si>
  <si>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</si>
  <si>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</si>
  <si>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</si>
  <si>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</si>
  <si>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</si>
  <si>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</si>
  <si>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</si>
  <si>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</si>
  <si>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</si>
  <si>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</si>
  <si>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</si>
  <si>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</si>
  <si>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</si>
  <si>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</si>
  <si>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</si>
  <si>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</si>
  <si>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</si>
  <si>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</si>
  <si>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</si>
  <si>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</si>
  <si>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</si>
  <si>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</si>
  <si>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</si>
  <si>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</si>
  <si>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</si>
  <si>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</si>
  <si>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</si>
  <si>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</si>
  <si>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</si>
  <si>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</si>
  <si>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</si>
  <si>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</si>
  <si>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</si>
  <si>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</si>
  <si>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</si>
  <si>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</si>
  <si>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</si>
  <si>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</si>
  <si>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</si>
  <si>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</si>
  <si>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</si>
  <si>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</si>
  <si>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</si>
  <si>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</si>
  <si>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</si>
  <si>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</si>
  <si>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</si>
  <si>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</si>
  <si>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</si>
  <si>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</si>
  <si>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</si>
  <si>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</si>
  <si>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</si>
  <si>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</si>
  <si>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</si>
  <si>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</si>
  <si>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</si>
  <si>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</si>
  <si>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</si>
  <si>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</si>
  <si>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</si>
  <si>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</si>
  <si>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</si>
  <si>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</si>
  <si>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</si>
  <si>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</si>
  <si>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</si>
  <si>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</si>
  <si>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</si>
  <si>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</si>
  <si>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</si>
  <si>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</si>
  <si>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</si>
  <si>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</si>
  <si>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</si>
  <si>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</si>
  <si>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</si>
  <si>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</si>
  <si>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</si>
  <si>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</si>
  <si>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</si>
  <si>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</si>
  <si>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</si>
  <si>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</si>
  <si>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</si>
  <si>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</si>
  <si>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</si>
  <si>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</si>
  <si>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</si>
  <si>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</si>
  <si>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</si>
  <si>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</si>
  <si>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</si>
  <si>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</si>
  <si>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</si>
  <si>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</si>
  <si>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</si>
  <si>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</si>
  <si>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</si>
  <si>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</si>
  <si>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</si>
  <si>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</si>
  <si>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</si>
  <si>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</si>
  <si>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</si>
  <si>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</si>
  <si>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</si>
  <si>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</si>
  <si>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</si>
  <si>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</si>
  <si>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</si>
  <si>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</si>
  <si>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</si>
  <si>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</si>
  <si>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</si>
  <si>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</si>
  <si>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</si>
  <si>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</si>
  <si>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</si>
  <si>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</si>
  <si>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</si>
  <si>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</si>
  <si>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</si>
  <si>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</si>
  <si>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</si>
  <si>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</si>
  <si>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</si>
  <si>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</si>
  <si>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</si>
  <si>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</si>
  <si>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</si>
  <si>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</si>
  <si>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</si>
  <si>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</si>
  <si>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</si>
  <si>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</si>
  <si>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</si>
  <si>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</si>
  <si>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</si>
  <si>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</si>
  <si>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</si>
  <si>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</si>
  <si>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</si>
  <si>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</si>
  <si>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</si>
  <si>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</si>
  <si>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</si>
  <si>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</si>
  <si>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</si>
  <si>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</si>
  <si>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</si>
  <si>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</si>
  <si>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</si>
  <si>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</si>
  <si>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</si>
  <si>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</si>
  <si>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</si>
  <si>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</si>
  <si>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</si>
  <si>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</si>
  <si>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</si>
  <si>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</si>
  <si>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</si>
  <si>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</si>
  <si>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</si>
  <si>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</si>
  <si>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</si>
  <si>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</si>
  <si>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</si>
  <si>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</si>
  <si>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</si>
  <si>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</si>
  <si>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</si>
  <si>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</si>
  <si>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</si>
  <si>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</si>
  <si>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</si>
  <si>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</si>
  <si>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</si>
  <si>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</si>
  <si>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</si>
  <si>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</si>
  <si>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</si>
  <si>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</si>
  <si>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</si>
  <si>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</si>
  <si>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</si>
  <si>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</si>
  <si>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</si>
  <si>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</si>
  <si>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</si>
  <si>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</si>
  <si>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</si>
  <si>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</si>
  <si>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</si>
  <si>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</si>
  <si>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</si>
  <si>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</si>
  <si>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</si>
  <si>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</si>
  <si>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</si>
  <si>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</si>
  <si>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</si>
  <si>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</si>
  <si>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</si>
  <si>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</si>
  <si>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</si>
  <si>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</si>
  <si>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</si>
  <si>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</si>
  <si>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</si>
  <si>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</si>
  <si>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</si>
  <si>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</si>
  <si>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</si>
  <si>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</si>
  <si>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</si>
  <si>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</si>
  <si>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</si>
  <si>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</si>
  <si>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</si>
  <si>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</si>
  <si>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</si>
  <si>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</si>
  <si>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</si>
  <si>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</si>
  <si>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</si>
  <si>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</si>
  <si>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</si>
  <si>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</si>
  <si>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</si>
  <si>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</si>
  <si>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</si>
  <si>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</si>
  <si>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</si>
  <si>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</si>
  <si>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</si>
  <si>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</si>
  <si>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</si>
  <si>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</si>
  <si>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</si>
  <si>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</si>
  <si>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</si>
  <si>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</si>
  <si>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</si>
  <si>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</si>
  <si>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</si>
  <si>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</si>
  <si>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</si>
  <si>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</si>
  <si>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</si>
  <si>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</si>
  <si>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</si>
  <si>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</si>
  <si>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</si>
  <si>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</si>
  <si>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</si>
  <si>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</si>
  <si>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</si>
  <si>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</si>
  <si>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</si>
  <si>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</si>
  <si>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</si>
  <si>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</si>
  <si>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</si>
  <si>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</si>
  <si>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</si>
  <si>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</si>
  <si>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</si>
  <si>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</si>
  <si>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</si>
  <si>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</si>
  <si>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</si>
  <si>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</si>
  <si>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</si>
  <si>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</si>
  <si>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</si>
  <si>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</si>
  <si>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</si>
  <si>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</si>
  <si>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</si>
  <si>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</si>
  <si>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</si>
  <si>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</si>
  <si>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</si>
  <si>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</si>
  <si>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</si>
  <si>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</si>
  <si>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</si>
  <si>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</si>
  <si>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</si>
  <si>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</si>
  <si>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</si>
  <si>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</si>
  <si>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</si>
  <si>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</si>
  <si>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</si>
  <si>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</si>
  <si>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</si>
  <si>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</si>
  <si>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</si>
  <si>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</si>
  <si>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</si>
  <si>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</si>
  <si>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</si>
  <si>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</si>
  <si>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</si>
  <si>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</si>
  <si>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</si>
  <si>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</si>
  <si>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</si>
  <si>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</si>
  <si>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</si>
  <si>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</si>
  <si>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</si>
  <si>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</si>
  <si>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</si>
  <si>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</si>
  <si>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</si>
  <si>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</si>
  <si>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</si>
  <si>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</si>
  <si>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</si>
  <si>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</si>
  <si>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</si>
  <si>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</si>
  <si>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</si>
  <si>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</si>
  <si>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</si>
  <si>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</si>
  <si>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</si>
  <si>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</si>
  <si>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</si>
  <si>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</si>
  <si>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</si>
  <si>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</si>
  <si>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</si>
  <si>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</si>
  <si>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</si>
  <si>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</si>
  <si>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</si>
  <si>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</si>
  <si>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</si>
  <si>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</si>
  <si>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</si>
  <si>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</si>
  <si>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</si>
  <si>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</si>
  <si>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</si>
  <si>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</si>
  <si>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</si>
  <si>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</si>
  <si>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</si>
  <si>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</si>
  <si>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</si>
  <si>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</si>
  <si>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</si>
  <si>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</si>
  <si>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</si>
  <si>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</si>
  <si>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</si>
  <si>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</si>
  <si>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</si>
  <si>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</si>
  <si>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</si>
  <si>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</si>
  <si>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</si>
  <si>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</si>
  <si>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</si>
  <si>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</si>
  <si>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</si>
  <si>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</si>
  <si>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</si>
  <si>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</si>
  <si>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</si>
  <si>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</si>
  <si>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</si>
  <si>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</si>
  <si>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</si>
  <si>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</si>
  <si>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</si>
  <si>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</si>
  <si>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</si>
  <si>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</si>
  <si>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</si>
  <si>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</si>
  <si>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</si>
  <si>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</si>
  <si>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</si>
  <si>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</si>
  <si>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</si>
  <si>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</si>
  <si>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</si>
  <si>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</si>
  <si>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</si>
  <si>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</si>
  <si>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</si>
  <si>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</si>
  <si>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</si>
  <si>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</si>
  <si>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</si>
  <si>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</si>
  <si>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</si>
  <si>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</si>
  <si>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</si>
  <si>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</si>
  <si>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</si>
  <si>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</si>
  <si>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</si>
  <si>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</si>
  <si>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</si>
  <si>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</si>
  <si>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</si>
  <si>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</si>
  <si>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</si>
  <si>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</si>
  <si>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</si>
  <si>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</si>
  <si>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</si>
  <si>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</si>
  <si>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</si>
  <si>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</si>
  <si>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</si>
  <si>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</si>
  <si>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</si>
  <si>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</si>
  <si>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</si>
  <si>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</si>
  <si>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</si>
  <si>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</si>
  <si>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</si>
  <si>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</si>
  <si>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</si>
  <si>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</si>
  <si>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</si>
  <si>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</si>
  <si>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</si>
  <si>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</si>
  <si>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</si>
  <si>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</si>
  <si>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</si>
  <si>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</si>
  <si>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</si>
  <si>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</si>
  <si>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</si>
  <si>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</si>
  <si>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</si>
  <si>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</si>
  <si>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</si>
  <si>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</si>
  <si>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</si>
  <si>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</si>
  <si>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</si>
  <si>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</si>
  <si>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</si>
  <si>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</si>
  <si>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</si>
  <si>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</si>
  <si>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</si>
  <si>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</si>
  <si>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</si>
  <si>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</si>
  <si>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</si>
  <si>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</si>
  <si>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</si>
  <si>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</si>
  <si>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</si>
  <si>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</si>
  <si>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</si>
  <si>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</si>
  <si>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</si>
  <si>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</si>
  <si>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</si>
  <si>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</si>
  <si>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</si>
  <si>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</si>
  <si>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</si>
  <si>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</si>
  <si>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</si>
  <si>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</si>
  <si>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</si>
  <si>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</si>
  <si>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</si>
  <si>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</si>
  <si>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</si>
  <si>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</si>
  <si>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</si>
  <si>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</si>
  <si>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</si>
  <si>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</si>
  <si>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</si>
  <si>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</si>
  <si>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</si>
  <si>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</si>
  <si>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</si>
  <si>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</si>
  <si>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</si>
  <si>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</si>
  <si>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</si>
  <si>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</si>
  <si>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</si>
  <si>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</si>
  <si>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</si>
  <si>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</si>
  <si>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</si>
  <si>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</si>
  <si>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</si>
  <si>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</si>
  <si>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</si>
  <si>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</si>
  <si>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</si>
  <si>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</si>
  <si>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</si>
  <si>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</si>
  <si>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</si>
  <si>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</si>
  <si>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</si>
  <si>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</si>
  <si>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</si>
  <si>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</si>
  <si>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</si>
  <si>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</si>
  <si>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</si>
  <si>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</si>
  <si>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</si>
  <si>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</si>
  <si>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</si>
  <si>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</si>
  <si>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</si>
  <si>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</si>
  <si>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</si>
  <si>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</si>
  <si>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</si>
  <si>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</si>
  <si>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</si>
  <si>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</si>
  <si>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</si>
  <si>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</si>
  <si>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</si>
  <si>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</si>
  <si>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</si>
  <si>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</si>
  <si>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</si>
  <si>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</si>
  <si>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</si>
  <si>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</si>
  <si>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</si>
  <si>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</si>
  <si>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</si>
  <si>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</si>
  <si>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</si>
  <si>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</si>
  <si>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</si>
  <si>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</si>
  <si>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</si>
  <si>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</si>
  <si>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</si>
  <si>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</si>
  <si>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</si>
  <si>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</si>
  <si>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</si>
  <si>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</si>
  <si>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</si>
  <si>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</si>
  <si>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</si>
  <si>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</si>
  <si>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</si>
  <si>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</si>
  <si>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</si>
  <si>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</si>
  <si>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</si>
  <si>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</si>
  <si>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</si>
  <si>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</si>
  <si>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Amount Paid</t>
  </si>
  <si>
    <t>Length of Staye</t>
  </si>
  <si>
    <t>Insurance Coverage</t>
  </si>
  <si>
    <t>No. of Patient</t>
  </si>
  <si>
    <t>Total Bill Amt.</t>
  </si>
  <si>
    <t>Average Length of Stay</t>
  </si>
  <si>
    <t>Average of Insurance Coverage</t>
  </si>
  <si>
    <t>No. of Patients</t>
  </si>
  <si>
    <t>Age Category</t>
  </si>
  <si>
    <t>18-35</t>
  </si>
  <si>
    <t>36-50</t>
  </si>
  <si>
    <t>51-65</t>
  </si>
  <si>
    <t>Above 65</t>
  </si>
  <si>
    <t>Under 18</t>
  </si>
  <si>
    <t>Perc. of Amt</t>
  </si>
  <si>
    <t>Perc.</t>
  </si>
  <si>
    <t>2024</t>
  </si>
  <si>
    <t>2025</t>
  </si>
  <si>
    <t>Month/Year</t>
  </si>
  <si>
    <t>Sum of Amount Paid</t>
  </si>
  <si>
    <t>Qtr1</t>
  </si>
  <si>
    <t>Qtr2</t>
  </si>
  <si>
    <t>Qtr3</t>
  </si>
  <si>
    <t>Qtr4</t>
  </si>
  <si>
    <t>Jan</t>
  </si>
  <si>
    <t>Feb</t>
  </si>
  <si>
    <t>Mar</t>
  </si>
  <si>
    <t>Apr</t>
  </si>
  <si>
    <t>May</t>
  </si>
  <si>
    <t>Jun</t>
  </si>
  <si>
    <t>Jul</t>
  </si>
  <si>
    <t>Aug</t>
  </si>
  <si>
    <t>Sep</t>
  </si>
  <si>
    <t>Oct</t>
  </si>
  <si>
    <t>Nov</t>
  </si>
  <si>
    <t>Dec</t>
  </si>
  <si>
    <t>SECURE HEALTH GENERAL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</si>
</sst>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dd/mm/yyyy;@"/>
    <numFmt numFmtId="166" formatCode="0.0"/>
    <numFmt numFmtId="167" formatCode="&quot;$&quot;#,##0"/>
  </numFmts>
  <fonts count="5" x14ac:knownFonts="1">
    <font>
      <sz val="11"/>
      <color theme="1"/>
      <name val="Aptos Narrow"/>
      <family val="2"/>
      <scheme val="minor"/>
    </font>
    <font>
      <b/>
      <sz val="11"/>
      <color rgb="FFFFFFFF"/>
      <name val="Aptos Narrow"/>
      <family val="2"/>
      <scheme val="minor"/>
    </font>
    <font>
      <sz val="11"/>
      <color theme="1"/>
      <name val="Aptos Narrow"/>
      <family val="2"/>
      <scheme val="minor"/>
    </font>
    <font>
      <sz val="8"/>
      <name val="Aptos Narrow"/>
      <family val="2"/>
      <scheme val="minor"/>
    </font>
    <font>
      <sz val="32"/>
      <color theme="1"/>
      <name val="Cooper Black"/>
      <family val="1"/>
    </font>
  </fonts>
  <fills count="4">
    <fill>
      <patternFill patternType="none"/>
    </fill>
    <fill>
      <patternFill patternType="gray125"/>
    </fill>
    <fill>
      <patternFill patternType="solid">
        <fgColor rgb="FF4472C4"/>
        <bgColor indexed="64"/>
      </patternFill>
    </fill>
    <fill>
      <patternFill patternType="solid">
        <fgColor theme="3" tint="0.89999084444715716"/>
        <bgColor indexed="64"/>
      </patternFill>
    </fill>
  </fills>
  <borders count="1">
    <border>
      <left/>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2">
    <xf numFmtId="0" fontId="0" fillId="0" borderId="0" xfId="0"/>
    <xf numFmtId="0" fontId="1" fillId="2" borderId="0" xfId="0" applyFont="1" applyFill="1" applyAlignment="1">
      <alignment horizontal="center"/>
    </xf>
    <xf numFmtId="164" fontId="0" fillId="0" borderId="0" xfId="0" applyNumberFormat="1"/>
    <xf numFmtId="164" fontId="0" fillId="0" borderId="0" xfId="1" applyNumberFormat="1" applyFont="1"/>
    <xf numFmtId="165" fontId="1" fillId="2" borderId="0" xfId="0" applyNumberFormat="1" applyFont="1" applyFill="1" applyAlignment="1">
      <alignment horizontal="center"/>
    </xf>
    <xf numFmtId="165" fontId="0" fillId="0" borderId="0" xfId="0" applyNumberFormat="1"/>
    <xf numFmtId="9" fontId="0" fillId="0" borderId="0" xfId="2" applyFont="1"/>
    <xf numFmtId="9" fontId="1" fillId="2" borderId="0" xfId="2" applyFont="1" applyFill="1" applyAlignment="1">
      <alignment horizontal="center"/>
    </xf>
    <xf numFmtId="0" fontId="1" fillId="2" borderId="0" xfId="0" applyFont="1" applyFill="1" applyAlignment="1">
      <alignment horizontal="left"/>
    </xf>
    <xf numFmtId="0" fontId="0" fillId="0" borderId="0" xfId="0" applyAlignment="1">
      <alignment horizontal="left"/>
    </xf>
    <xf numFmtId="0" fontId="0" fillId="0" borderId="0" xfId="0" pivotButton="1"/>
    <xf numFmtId="9" fontId="0" fillId="0" borderId="0" xfId="0" applyNumberFormat="1"/>
    <xf numFmtId="0" fontId="0" fillId="3" borderId="0" xfId="0" applyFill="1"/>
    <xf numFmtId="166" fontId="0" fillId="0" borderId="0" xfId="0" applyNumberFormat="1"/>
    <xf numFmtId="167" fontId="0" fillId="0" borderId="0" xfId="1" applyNumberFormat="1" applyFont="1"/>
    <xf numFmtId="167" fontId="0" fillId="0" borderId="0" xfId="0" applyNumberFormat="1"/>
    <xf numFmtId="37" fontId="0" fillId="0" borderId="0" xfId="0" applyNumberFormat="1"/>
    <xf numFmtId="37" fontId="0" fillId="0" borderId="0" xfId="3" applyNumberFormat="1" applyFont="1"/>
    <xf numFmtId="0" fontId="0" fillId="0" borderId="0" xfId="0" applyAlignment="1">
      <alignment horizontal="left" indent="1"/>
    </xf>
    <xf numFmtId="0" fontId="0" fillId="0" borderId="0" xfId="0" applyAlignment="1">
      <alignment horizontal="left" indent="2"/>
    </xf>
    <xf numFmtId="0" fontId="4" fillId="3" borderId="0" xfId="0" applyFont="1" applyFill="1"/>
    <xf numFmtId="0" fontId="4" fillId="3" borderId="0" xfId="0" applyFont="1" applyFill="1" applyAlignment="1">
      <alignment horizontal="center"/>
    </xf>
  </cellXfs>
  <cellStyles count="4">
    <cellStyle name="Comma" xfId="3" builtinId="3"/>
    <cellStyle name="Currency" xfId="1" builtinId="4"/>
    <cellStyle name="Normal" xfId="0" builtinId="0"/>
    <cellStyle name="Percent" xfId="2" builtinId="5"/>
  </cellStyles>
  <dxfs count="4">
    <dxf>
      <numFmt numFmtId="5" formatCode="#,##0_);\(#,##0\)"/>
    </dxf>
    <dxf>
      <numFmt numFmtId="167" formatCode="&quot;$&quot;#,##0"/>
    </dxf>
    <dxf>
      <numFmt numFmtId="167" formatCode="&quot;$&quot;#,##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[Hospital_Patients_Dataset(AutoRecovered)(AutoRecovered).xlsx]Pivot Table!PivotTable5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a:solidFill>
                  <a:schemeClr val="tx2">
                    <a:lumMod val="75000"/>
                    <a:lumOff val="25000"/>
                  </a:schemeClr>
                </a:solidFill>
                <a:latin typeface="Cooper Black" panose="0208090404030B020404" pitchFamily="18" charset="0"/>
              </a:rPr>
              <a:t>Patients by</a:t>
            </a:r>
            <a:r>
              <a:rPr lang="en-US" sz="1400" baseline="0">
                <a:solidFill>
                  <a:schemeClr val="tx2">
                    <a:lumMod val="75000"/>
                    <a:lumOff val="25000"/>
                  </a:schemeClr>
                </a:solidFill>
                <a:latin typeface="Cooper Black" panose="0208090404030B020404" pitchFamily="18" charset="0"/>
              </a:rPr>
              <a:t> Department</a:t>
            </a:r>
            <a:endParaRPr lang="en-US"/>
          </a:p>
        </c:rich>
      </c:tx>
      <c:layout>
        <c:manualLayout>
          <c:xMode val="edge"/>
          <c:yMode val="edge"/>
          <c:x val="0.10702967469930484"/>
          <c:y val="2.880573029897853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43B9DC-503A-4073-959D-D882480991FD}"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8E441D-D1F0-4536-891A-3758245C8EF9}"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555003-BB4C-4A3A-8560-13419299A16A}"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15BD84-6998-4ED6-9D86-E240D4B87496}"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CD747D-5969-40CE-9ED5-C343994EF356}"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181693344840984"/>
          <c:y val="0.13486326279099659"/>
          <c:w val="0.79097986366491291"/>
          <c:h val="0.75414332267259432"/>
        </c:manualLayout>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00E8-4212-B543-AC55A38E652A}"/>
              </c:ext>
            </c:extLst>
          </c:dPt>
          <c:dPt>
            <c:idx val="1"/>
            <c:invertIfNegative val="0"/>
            <c:bubble3D val="0"/>
            <c:spPr>
              <a:solidFill>
                <a:srgbClr val="FF0000"/>
              </a:solidFill>
              <a:ln>
                <a:noFill/>
              </a:ln>
              <a:effectLst/>
            </c:spPr>
            <c:extLst>
              <c:ext xmlns:c16="http://schemas.microsoft.com/office/drawing/2014/chart" uri="{C3380CC4-5D6E-409C-BE32-E72D297353CC}">
                <c16:uniqueId val="{00000003-00E8-4212-B543-AC55A38E652A}"/>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00E8-4212-B543-AC55A38E652A}"/>
              </c:ext>
            </c:extLst>
          </c:dPt>
          <c:dPt>
            <c:idx val="3"/>
            <c:invertIfNegative val="0"/>
            <c:bubble3D val="0"/>
            <c:spPr>
              <a:solidFill>
                <a:srgbClr val="7030A0"/>
              </a:solidFill>
              <a:ln>
                <a:noFill/>
              </a:ln>
              <a:effectLst/>
            </c:spPr>
            <c:extLst>
              <c:ext xmlns:c16="http://schemas.microsoft.com/office/drawing/2014/chart" uri="{C3380CC4-5D6E-409C-BE32-E72D297353CC}">
                <c16:uniqueId val="{00000007-00E8-4212-B543-AC55A38E652A}"/>
              </c:ext>
            </c:extLst>
          </c:dPt>
          <c:dPt>
            <c:idx val="4"/>
            <c:invertIfNegative val="0"/>
            <c:bubble3D val="0"/>
            <c:spPr>
              <a:solidFill>
                <a:srgbClr val="00B050"/>
              </a:solidFill>
              <a:ln>
                <a:noFill/>
              </a:ln>
              <a:effectLst/>
            </c:spPr>
            <c:extLst>
              <c:ext xmlns:c16="http://schemas.microsoft.com/office/drawing/2014/chart" uri="{C3380CC4-5D6E-409C-BE32-E72D297353CC}">
                <c16:uniqueId val="{00000009-00E8-4212-B543-AC55A38E652A}"/>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00E8-4212-B543-AC55A38E652A}"/>
              </c:ext>
            </c:extLst>
          </c:dPt>
          <c:dLbls>
            <c:dLbl>
              <c:idx val="0"/>
              <c:tx>
                <c:rich>
                  <a:bodyPr/>
                  <a:lstStyle/>
                  <a:p>
                    <a:fld id="{2843B9DC-503A-4073-959D-D882480991FD}" type="VALUE">
                      <a:rPr lang="en-US" sz="12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0E8-4212-B543-AC55A38E652A}"/>
                </c:ext>
              </c:extLst>
            </c:dLbl>
            <c:dLbl>
              <c:idx val="1"/>
              <c:tx>
                <c:rich>
                  <a:bodyPr/>
                  <a:lstStyle/>
                  <a:p>
                    <a:fld id="{2843B9DC-503A-4073-959D-D882480991FD}" type="VALUE">
                      <a:rPr lang="en-US" sz="12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0E8-4212-B543-AC55A38E652A}"/>
                </c:ext>
              </c:extLst>
            </c:dLbl>
            <c:dLbl>
              <c:idx val="2"/>
              <c:tx>
                <c:rich>
                  <a:bodyPr/>
                  <a:lstStyle/>
                  <a:p>
                    <a:fld id="{06555003-BB4C-4A3A-8560-13419299A16A}" type="VALUE">
                      <a:rPr lang="en-US" sz="11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0E8-4212-B543-AC55A38E652A}"/>
                </c:ext>
              </c:extLst>
            </c:dLbl>
            <c:dLbl>
              <c:idx val="3"/>
              <c:tx>
                <c:rich>
                  <a:bodyPr/>
                  <a:lstStyle/>
                  <a:p>
                    <a:fld id="{0E15BD84-6998-4ED6-9D86-E240D4B87496}" type="VALUE">
                      <a:rPr lang="en-US" sz="11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0E8-4212-B543-AC55A38E652A}"/>
                </c:ext>
              </c:extLst>
            </c:dLbl>
            <c:dLbl>
              <c:idx val="4"/>
              <c:tx>
                <c:rich>
                  <a:bodyPr/>
                  <a:lstStyle/>
                  <a:p>
                    <a:fld id="{628E441D-D1F0-4536-891A-3758245C8EF9}" type="VALUE">
                      <a:rPr lang="en-US" sz="11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0E8-4212-B543-AC55A38E652A}"/>
                </c:ext>
              </c:extLst>
            </c:dLbl>
            <c:dLbl>
              <c:idx val="5"/>
              <c:tx>
                <c:rich>
                  <a:bodyPr/>
                  <a:lstStyle/>
                  <a:p>
                    <a:fld id="{AFCD747D-5969-40CE-9ED5-C343994EF356}" type="VALUE">
                      <a:rPr lang="en-US" sz="11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0E8-4212-B543-AC55A38E65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6"/>
                <c:pt idx="0">
                  <c:v>Pediatrics</c:v>
                </c:pt>
                <c:pt idx="1">
                  <c:v>Orthopedics</c:v>
                </c:pt>
                <c:pt idx="2">
                  <c:v>Neurology</c:v>
                </c:pt>
                <c:pt idx="3">
                  <c:v>General</c:v>
                </c:pt>
                <c:pt idx="4">
                  <c:v>Emergency</c:v>
                </c:pt>
                <c:pt idx="5">
                  <c:v>Cardiology</c:v>
                </c:pt>
              </c:strCache>
            </c:strRef>
          </c:cat>
          <c:val>
            <c:numRef>
              <c:f>'Pivot Table'!$B$8:$B$13</c:f>
              <c:numCache>
                <c:formatCode>General</c:formatCode>
                <c:ptCount val="6"/>
                <c:pt idx="0">
                  <c:v>153</c:v>
                </c:pt>
                <c:pt idx="1">
                  <c:v>159</c:v>
                </c:pt>
                <c:pt idx="2">
                  <c:v>94</c:v>
                </c:pt>
                <c:pt idx="3">
                  <c:v>252</c:v>
                </c:pt>
                <c:pt idx="4">
                  <c:v>190</c:v>
                </c:pt>
                <c:pt idx="5">
                  <c:v>152</c:v>
                </c:pt>
              </c:numCache>
            </c:numRef>
          </c:val>
          <c:extLst>
            <c:ext xmlns:c16="http://schemas.microsoft.com/office/drawing/2014/chart" uri="{C3380CC4-5D6E-409C-BE32-E72D297353CC}">
              <c16:uniqueId val="{0000000E-7A01-4FFB-A2A0-88B232E214B9}"/>
            </c:ext>
          </c:extLst>
        </c:ser>
        <c:dLbls>
          <c:dLblPos val="outEnd"/>
          <c:showLegendKey val="0"/>
          <c:showVal val="1"/>
          <c:showCatName val="0"/>
          <c:showSerName val="0"/>
          <c:showPercent val="0"/>
          <c:showBubbleSize val="0"/>
        </c:dLbls>
        <c:gapWidth val="182"/>
        <c:axId val="346013488"/>
        <c:axId val="276844880"/>
      </c:barChart>
      <c:catAx>
        <c:axId val="346013488"/>
        <c:scaling>
          <c:orientation val="minMax"/>
        </c:scaling>
        <c:delete val="0"/>
        <c:axPos val="l"/>
        <c:numFmt formatCode="General" sourceLinked="1"/>
        <c:majorTickMark val="none"/>
        <c:minorTickMark val="none"/>
        <c:tickLblPos val="nextTo"/>
        <c:spPr>
          <a:noFill/>
          <a:ln w="9525" cap="flat" cmpd="sng" algn="ctr">
            <a:solidFill>
              <a:schemeClr val="tx2">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276844880"/>
        <c:crosses val="autoZero"/>
        <c:auto val="1"/>
        <c:lblAlgn val="ctr"/>
        <c:lblOffset val="100"/>
        <c:noMultiLvlLbl val="0"/>
      </c:catAx>
      <c:valAx>
        <c:axId val="27684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01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[Hospital_Patients_Dataset(AutoRecovered)(AutoRecovered).xlsx]Pivot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2">
                    <a:lumMod val="75000"/>
                    <a:lumOff val="25000"/>
                  </a:schemeClr>
                </a:solidFill>
                <a:latin typeface="Cooper Black" panose="0208090404030B020404" pitchFamily="18" charset="0"/>
              </a:rPr>
              <a:t>Age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841738-56FA-46EE-A5DF-E185107A158E}" type="VALUE">
                  <a:rPr lang="en-US" sz="12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AF4205-DFDA-419F-BDF4-8E5485A683FF}" type="VALUE">
                  <a:rPr lang="en-US" sz="12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7030A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C53661-3FA0-4D0C-953A-55D3CBA762E1}" type="VALUE">
                  <a:rPr lang="en-US" sz="12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4770DB-30CF-40A5-BB6E-6BAA48D39FC6}" type="VALUE">
                  <a:rPr lang="en-US" sz="12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8CF464-5E18-4374-9492-51CFC41142A3}" type="VALUE">
                  <a:rPr lang="en-US" sz="12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Table'!$E$7</c:f>
              <c:strCache>
                <c:ptCount val="1"/>
                <c:pt idx="0">
                  <c:v>Total</c:v>
                </c:pt>
              </c:strCache>
            </c:strRef>
          </c:tx>
          <c:dPt>
            <c:idx val="0"/>
            <c:bubble3D val="0"/>
            <c:spPr>
              <a:solidFill>
                <a:srgbClr val="00B0F0"/>
              </a:solidFill>
              <a:ln w="19050">
                <a:noFill/>
              </a:ln>
              <a:effectLst/>
            </c:spPr>
            <c:extLst>
              <c:ext xmlns:c16="http://schemas.microsoft.com/office/drawing/2014/chart" uri="{C3380CC4-5D6E-409C-BE32-E72D297353CC}">
                <c16:uniqueId val="{00000001-EFBD-4C47-BF6B-F955F27E80C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FBD-4C47-BF6B-F955F27E80C9}"/>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EFBD-4C47-BF6B-F955F27E80C9}"/>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EFBD-4C47-BF6B-F955F27E80C9}"/>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EFBD-4C47-BF6B-F955F27E80C9}"/>
              </c:ext>
            </c:extLst>
          </c:dPt>
          <c:dLbls>
            <c:dLbl>
              <c:idx val="0"/>
              <c:tx>
                <c:rich>
                  <a:bodyPr/>
                  <a:lstStyle/>
                  <a:p>
                    <a:fld id="{FD841738-56FA-46EE-A5DF-E185107A158E}" type="VALUE">
                      <a:rPr lang="en-US" sz="12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FBD-4C47-BF6B-F955F27E80C9}"/>
                </c:ext>
              </c:extLst>
            </c:dLbl>
            <c:dLbl>
              <c:idx val="1"/>
              <c:tx>
                <c:rich>
                  <a:bodyPr/>
                  <a:lstStyle/>
                  <a:p>
                    <a:fld id="{5CAF4205-DFDA-419F-BDF4-8E5485A683FF}" type="VALUE">
                      <a:rPr lang="en-US" sz="12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BD-4C47-BF6B-F955F27E80C9}"/>
                </c:ext>
              </c:extLst>
            </c:dLbl>
            <c:dLbl>
              <c:idx val="2"/>
              <c:tx>
                <c:rich>
                  <a:bodyPr/>
                  <a:lstStyle/>
                  <a:p>
                    <a:fld id="{1DC53661-3FA0-4D0C-953A-55D3CBA762E1}" type="VALUE">
                      <a:rPr lang="en-US" sz="12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FBD-4C47-BF6B-F955F27E80C9}"/>
                </c:ext>
              </c:extLst>
            </c:dLbl>
            <c:dLbl>
              <c:idx val="3"/>
              <c:tx>
                <c:rich>
                  <a:bodyPr/>
                  <a:lstStyle/>
                  <a:p>
                    <a:fld id="{004770DB-30CF-40A5-BB6E-6BAA48D39FC6}" type="VALUE">
                      <a:rPr lang="en-US" sz="12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FBD-4C47-BF6B-F955F27E80C9}"/>
                </c:ext>
              </c:extLst>
            </c:dLbl>
            <c:dLbl>
              <c:idx val="4"/>
              <c:tx>
                <c:rich>
                  <a:bodyPr/>
                  <a:lstStyle/>
                  <a:p>
                    <a:fld id="{F48CF464-5E18-4374-9492-51CFC41142A3}" type="VALUE">
                      <a:rPr lang="en-US" sz="12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FBD-4C47-BF6B-F955F27E80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5"/>
                <c:pt idx="0">
                  <c:v>18-35</c:v>
                </c:pt>
                <c:pt idx="1">
                  <c:v>36-50</c:v>
                </c:pt>
                <c:pt idx="2">
                  <c:v>51-65</c:v>
                </c:pt>
                <c:pt idx="3">
                  <c:v>Above 65</c:v>
                </c:pt>
                <c:pt idx="4">
                  <c:v>Under 18</c:v>
                </c:pt>
              </c:strCache>
            </c:strRef>
          </c:cat>
          <c:val>
            <c:numRef>
              <c:f>'Pivot Table'!$E$8:$E$12</c:f>
              <c:numCache>
                <c:formatCode>General</c:formatCode>
                <c:ptCount val="5"/>
                <c:pt idx="0">
                  <c:v>170</c:v>
                </c:pt>
                <c:pt idx="1">
                  <c:v>210</c:v>
                </c:pt>
                <c:pt idx="2">
                  <c:v>235</c:v>
                </c:pt>
                <c:pt idx="3">
                  <c:v>232</c:v>
                </c:pt>
                <c:pt idx="4">
                  <c:v>153</c:v>
                </c:pt>
              </c:numCache>
            </c:numRef>
          </c:val>
          <c:extLst>
            <c:ext xmlns:c16="http://schemas.microsoft.com/office/drawing/2014/chart" uri="{C3380CC4-5D6E-409C-BE32-E72D297353CC}">
              <c16:uniqueId val="{0000000C-96AE-43DB-98D9-AA2F8B75C07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64070879329131"/>
          <c:y val="0.35586633014635988"/>
          <c:w val="0.19627376340615968"/>
          <c:h val="0.4967098702271632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[Hospital_Patients_Dataset(AutoRecovered)(AutoRecovered).xlsx]Pivot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2">
                    <a:lumMod val="75000"/>
                    <a:lumOff val="25000"/>
                  </a:schemeClr>
                </a:solidFill>
                <a:latin typeface="Cooper Black" panose="0208090404030B020404" pitchFamily="18" charset="0"/>
              </a:rPr>
              <a:t>Payment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FF0000"/>
          </a:solidFill>
          <a:ln>
            <a:noFill/>
          </a:ln>
          <a:effectLst/>
        </c:spPr>
      </c:pivotFmt>
      <c:pivotFmt>
        <c:idx val="5"/>
        <c:spPr>
          <a:solidFill>
            <a:schemeClr val="accent2">
              <a:lumMod val="60000"/>
              <a:lumOff val="40000"/>
            </a:schemeClr>
          </a:solidFill>
          <a:ln>
            <a:noFill/>
          </a:ln>
          <a:effectLst/>
        </c:spPr>
      </c:pivotFmt>
    </c:pivotFmts>
    <c:plotArea>
      <c:layout/>
      <c:barChart>
        <c:barDir val="bar"/>
        <c:grouping val="stacked"/>
        <c:varyColors val="0"/>
        <c:ser>
          <c:idx val="0"/>
          <c:order val="0"/>
          <c:tx>
            <c:strRef>
              <c:f>'Pivot Table'!$I$7</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CD61-440F-8146-FA9D809C661E}"/>
              </c:ext>
            </c:extLst>
          </c:dPt>
          <c:dPt>
            <c:idx val="1"/>
            <c:invertIfNegative val="0"/>
            <c:bubble3D val="0"/>
            <c:spPr>
              <a:solidFill>
                <a:srgbClr val="FF0000"/>
              </a:solidFill>
              <a:ln>
                <a:noFill/>
              </a:ln>
              <a:effectLst/>
            </c:spPr>
            <c:extLst>
              <c:ext xmlns:c16="http://schemas.microsoft.com/office/drawing/2014/chart" uri="{C3380CC4-5D6E-409C-BE32-E72D297353CC}">
                <c16:uniqueId val="{00000003-CD61-440F-8146-FA9D809C661E}"/>
              </c:ext>
            </c:extLst>
          </c:dPt>
          <c:dPt>
            <c:idx val="2"/>
            <c:invertIfNegative val="0"/>
            <c:bubble3D val="0"/>
            <c:spPr>
              <a:solidFill>
                <a:srgbClr val="7030A0"/>
              </a:solidFill>
              <a:ln>
                <a:noFill/>
              </a:ln>
              <a:effectLst/>
            </c:spPr>
            <c:extLst>
              <c:ext xmlns:c16="http://schemas.microsoft.com/office/drawing/2014/chart" uri="{C3380CC4-5D6E-409C-BE32-E72D297353CC}">
                <c16:uniqueId val="{00000005-CD61-440F-8146-FA9D809C661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Table'!$H$8:$H$10</c:f>
              <c:strCache>
                <c:ptCount val="3"/>
                <c:pt idx="0">
                  <c:v>Pending</c:v>
                </c:pt>
                <c:pt idx="1">
                  <c:v>Partially Paid</c:v>
                </c:pt>
                <c:pt idx="2">
                  <c:v>Paid</c:v>
                </c:pt>
              </c:strCache>
            </c:strRef>
          </c:cat>
          <c:val>
            <c:numRef>
              <c:f>'Pivot Table'!$I$8:$I$10</c:f>
              <c:numCache>
                <c:formatCode>0%</c:formatCode>
                <c:ptCount val="3"/>
                <c:pt idx="0">
                  <c:v>0.25863024240382854</c:v>
                </c:pt>
                <c:pt idx="1">
                  <c:v>0.1740723595009008</c:v>
                </c:pt>
                <c:pt idx="2">
                  <c:v>0.56729739809527069</c:v>
                </c:pt>
              </c:numCache>
            </c:numRef>
          </c:val>
          <c:extLst>
            <c:ext xmlns:c16="http://schemas.microsoft.com/office/drawing/2014/chart" uri="{C3380CC4-5D6E-409C-BE32-E72D297353CC}">
              <c16:uniqueId val="{00000008-75A5-4560-81D9-538579762B78}"/>
            </c:ext>
          </c:extLst>
        </c:ser>
        <c:dLbls>
          <c:dLblPos val="inEnd"/>
          <c:showLegendKey val="0"/>
          <c:showVal val="1"/>
          <c:showCatName val="0"/>
          <c:showSerName val="0"/>
          <c:showPercent val="0"/>
          <c:showBubbleSize val="0"/>
        </c:dLbls>
        <c:gapWidth val="150"/>
        <c:overlap val="100"/>
        <c:axId val="508295824"/>
        <c:axId val="124730864"/>
      </c:barChart>
      <c:catAx>
        <c:axId val="508295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75000"/>
                    <a:lumOff val="25000"/>
                  </a:schemeClr>
                </a:solidFill>
                <a:latin typeface="+mn-lt"/>
                <a:ea typeface="+mn-ea"/>
                <a:cs typeface="+mn-cs"/>
              </a:defRPr>
            </a:pPr>
            <a:endParaRPr lang="en-US"/>
          </a:p>
        </c:txPr>
        <c:crossAx val="124730864"/>
        <c:crosses val="autoZero"/>
        <c:auto val="1"/>
        <c:lblAlgn val="ctr"/>
        <c:lblOffset val="100"/>
        <c:noMultiLvlLbl val="0"/>
      </c:catAx>
      <c:valAx>
        <c:axId val="124730864"/>
        <c:scaling>
          <c:orientation val="minMax"/>
        </c:scaling>
        <c:delete val="1"/>
        <c:axPos val="b"/>
        <c:numFmt formatCode="0%" sourceLinked="1"/>
        <c:majorTickMark val="none"/>
        <c:minorTickMark val="none"/>
        <c:tickLblPos val="nextTo"/>
        <c:crossAx val="50829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[Hospital_Patients_Dataset(AutoRecovered)(AutoRecovered).xlsx]Pivot Table!PivotTable9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2">
                    <a:lumMod val="75000"/>
                    <a:lumOff val="25000"/>
                  </a:schemeClr>
                </a:solidFill>
                <a:latin typeface="Cooper Black" panose="0208090404030B020404" pitchFamily="18" charset="0"/>
              </a:rPr>
              <a:t>Gender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11EFBCF3-8CC2-40AD-8177-27B6F3A00216}" type="VALUE">
                  <a:rPr lang="en-US" sz="1400"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40B86CE-3F27-4E74-AED7-E37BB5C199A1}" type="VALUE">
                  <a:rPr lang="en-US" sz="1400"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'Pivot Table'!$B$15</c:f>
              <c:strCache>
                <c:ptCount val="1"/>
                <c:pt idx="0">
                  <c:v>Total</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F672-410B-BDBD-1A3825B7A1DF}"/>
              </c:ext>
            </c:extLst>
          </c:dPt>
          <c:dPt>
            <c:idx val="1"/>
            <c:invertIfNegative val="0"/>
            <c:bubble3D val="0"/>
            <c:spPr>
              <a:solidFill>
                <a:srgbClr val="FF0000"/>
              </a:solidFill>
              <a:ln>
                <a:noFill/>
              </a:ln>
              <a:effectLst/>
            </c:spPr>
            <c:extLst>
              <c:ext xmlns:c16="http://schemas.microsoft.com/office/drawing/2014/chart" uri="{C3380CC4-5D6E-409C-BE32-E72D297353CC}">
                <c16:uniqueId val="{00000003-F672-410B-BDBD-1A3825B7A1DF}"/>
              </c:ext>
            </c:extLst>
          </c:dPt>
          <c:dLbls>
            <c:dLbl>
              <c:idx val="0"/>
              <c:tx>
                <c:rich>
                  <a:bodyPr/>
                  <a:lstStyle/>
                  <a:p>
                    <a:fld id="{11EFBCF3-8CC2-40AD-8177-27B6F3A00216}" type="VALUE">
                      <a:rPr lang="en-US" sz="14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672-410B-BDBD-1A3825B7A1DF}"/>
                </c:ext>
              </c:extLst>
            </c:dLbl>
            <c:dLbl>
              <c:idx val="1"/>
              <c:tx>
                <c:rich>
                  <a:bodyPr/>
                  <a:lstStyle/>
                  <a:p>
                    <a:fld id="{B40B86CE-3F27-4E74-AED7-E37BB5C199A1}" type="VALUE">
                      <a:rPr lang="en-US" sz="14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672-410B-BDBD-1A3825B7A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Table'!$A$16:$A$17</c:f>
              <c:strCache>
                <c:ptCount val="2"/>
                <c:pt idx="0">
                  <c:v>Female</c:v>
                </c:pt>
                <c:pt idx="1">
                  <c:v>Male</c:v>
                </c:pt>
              </c:strCache>
            </c:strRef>
          </c:cat>
          <c:val>
            <c:numRef>
              <c:f>'Pivot Table'!$B$16:$B$17</c:f>
              <c:numCache>
                <c:formatCode>0%</c:formatCode>
                <c:ptCount val="2"/>
                <c:pt idx="0">
                  <c:v>0.51200000000000001</c:v>
                </c:pt>
                <c:pt idx="1">
                  <c:v>0.48799999999999999</c:v>
                </c:pt>
              </c:numCache>
            </c:numRef>
          </c:val>
          <c:extLst>
            <c:ext xmlns:c16="http://schemas.microsoft.com/office/drawing/2014/chart" uri="{C3380CC4-5D6E-409C-BE32-E72D297353CC}">
              <c16:uniqueId val="{00000006-D437-4A13-A155-A9BB63CDE85D}"/>
            </c:ext>
          </c:extLst>
        </c:ser>
        <c:dLbls>
          <c:dLblPos val="inEnd"/>
          <c:showLegendKey val="0"/>
          <c:showVal val="1"/>
          <c:showCatName val="0"/>
          <c:showSerName val="0"/>
          <c:showPercent val="0"/>
          <c:showBubbleSize val="0"/>
        </c:dLbls>
        <c:gapWidth val="150"/>
        <c:overlap val="100"/>
        <c:axId val="358383968"/>
        <c:axId val="213659664"/>
      </c:barChart>
      <c:catAx>
        <c:axId val="35838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213659664"/>
        <c:crosses val="autoZero"/>
        <c:auto val="1"/>
        <c:lblAlgn val="ctr"/>
        <c:lblOffset val="100"/>
        <c:noMultiLvlLbl val="0"/>
      </c:catAx>
      <c:valAx>
        <c:axId val="21365966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35838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[Hospital_Patients_Dataset(AutoRecovered)(AutoRecovered).xlsx]Pivot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2">
                    <a:lumMod val="75000"/>
                    <a:lumOff val="25000"/>
                  </a:schemeClr>
                </a:solidFill>
                <a:latin typeface="Cooper Black" panose="0208090404030B020404" pitchFamily="18" charset="0"/>
              </a:rPr>
              <a:t>Admission Trend Over Time</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Table'!$E$15</c:f>
              <c:strCache>
                <c:ptCount val="1"/>
                <c:pt idx="0">
                  <c:v>Total</c:v>
                </c:pt>
              </c:strCache>
            </c:strRef>
          </c:tx>
          <c:spPr>
            <a:ln w="28575" cap="rnd">
              <a:solidFill>
                <a:schemeClr val="accent5"/>
              </a:solidFill>
              <a:round/>
            </a:ln>
            <a:effectLst/>
          </c:spPr>
          <c:marker>
            <c:symbol val="none"/>
          </c:marker>
          <c:cat>
            <c:multiLvlStrRef>
              <c:f>'Pivot Table'!$D$16:$D$49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Table'!$E$16:$E$49</c:f>
              <c:numCache>
                <c:formatCode>General</c:formatCode>
                <c:ptCount val="24"/>
                <c:pt idx="0">
                  <c:v>34</c:v>
                </c:pt>
                <c:pt idx="1">
                  <c:v>35</c:v>
                </c:pt>
                <c:pt idx="2">
                  <c:v>39</c:v>
                </c:pt>
                <c:pt idx="3">
                  <c:v>44</c:v>
                </c:pt>
                <c:pt idx="4">
                  <c:v>39</c:v>
                </c:pt>
                <c:pt idx="5">
                  <c:v>40</c:v>
                </c:pt>
                <c:pt idx="6">
                  <c:v>51</c:v>
                </c:pt>
                <c:pt idx="7">
                  <c:v>46</c:v>
                </c:pt>
                <c:pt idx="8">
                  <c:v>44</c:v>
                </c:pt>
                <c:pt idx="9">
                  <c:v>45</c:v>
                </c:pt>
                <c:pt idx="10">
                  <c:v>43</c:v>
                </c:pt>
                <c:pt idx="11">
                  <c:v>48</c:v>
                </c:pt>
                <c:pt idx="12">
                  <c:v>51</c:v>
                </c:pt>
                <c:pt idx="13">
                  <c:v>31</c:v>
                </c:pt>
                <c:pt idx="14">
                  <c:v>42</c:v>
                </c:pt>
                <c:pt idx="15">
                  <c:v>50</c:v>
                </c:pt>
                <c:pt idx="16">
                  <c:v>38</c:v>
                </c:pt>
                <c:pt idx="17">
                  <c:v>29</c:v>
                </c:pt>
                <c:pt idx="18">
                  <c:v>45</c:v>
                </c:pt>
                <c:pt idx="19">
                  <c:v>29</c:v>
                </c:pt>
                <c:pt idx="20">
                  <c:v>44</c:v>
                </c:pt>
                <c:pt idx="21">
                  <c:v>39</c:v>
                </c:pt>
                <c:pt idx="22">
                  <c:v>57</c:v>
                </c:pt>
                <c:pt idx="23">
                  <c:v>37</c:v>
                </c:pt>
              </c:numCache>
            </c:numRef>
          </c:val>
          <c:smooth val="0"/>
          <c:extLst>
            <c:ext xmlns:c16="http://schemas.microsoft.com/office/drawing/2014/chart" uri="{C3380CC4-5D6E-409C-BE32-E72D297353CC}">
              <c16:uniqueId val="{00000002-111E-44E6-996D-3BE146A9665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38433312"/>
        <c:axId val="276866000"/>
      </c:lineChart>
      <c:catAx>
        <c:axId val="43843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endParaRPr lang="en-US"/>
          </a:p>
        </c:txPr>
        <c:crossAx val="276866000"/>
        <c:crosses val="autoZero"/>
        <c:auto val="1"/>
        <c:lblAlgn val="ctr"/>
        <c:lblOffset val="100"/>
        <c:noMultiLvlLbl val="0"/>
      </c:catAx>
      <c:valAx>
        <c:axId val="276866000"/>
        <c:scaling>
          <c:orientation val="minMax"/>
          <c:min val="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endParaRPr lang="en-US"/>
          </a:p>
        </c:txPr>
        <c:crossAx val="4384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168663</xdr:colOff>
      <xdr:row>1</xdr:row>
      <xdr:rowOff>77401</xdr:rowOff>
    </xdr:from>
    <xdr:to>
      <xdr:col>12</xdr:col>
      <xdr:colOff>440004</xdr:colOff>
      <xdr:row>8</xdr:row>
      <xdr:rowOff>141450</xdr:rowOff>
    </xdr:to>
    <xdr:grpSp>
      <xdr:nvGrpSpPr>
        <xdr:cNvPr id="2" name="Group 1">
          <a:extLst>
            <a:ext uri="{FF2B5EF4-FFF2-40B4-BE49-F238E27FC236}">
              <a16:creationId xmlns:a16="http://schemas.microsoft.com/office/drawing/2014/main" id="{EF00E447-452C-5292-D840-19F96C76E9CA}"/>
            </a:ext>
          </a:extLst>
        </xdr:cNvPr>
        <xdr:cNvGrpSpPr/>
      </xdr:nvGrpSpPr>
      <xdr:grpSpPr>
        <a:xfrm>
          <a:off x="6137663" y="638318"/>
          <a:ext cx="2112841" cy="1323465"/>
          <a:chOff x="152400" y="336276"/>
          <a:chExt cx="2219754" cy="955329"/>
        </a:xfrm>
      </xdr:grpSpPr>
      <xdr:sp macro="" textlink="">
        <xdr:nvSpPr>
          <xdr:cNvPr id="4" name="Rectangle: Rounded Corners 3">
            <a:extLst>
              <a:ext uri="{FF2B5EF4-FFF2-40B4-BE49-F238E27FC236}">
                <a16:creationId xmlns:a16="http://schemas.microsoft.com/office/drawing/2014/main" id="{D335A713-4EEC-E72A-72DE-5F925D2179B6}"/>
              </a:ext>
            </a:extLst>
          </xdr:cNvPr>
          <xdr:cNvSpPr/>
        </xdr:nvSpPr>
        <xdr:spPr>
          <a:xfrm>
            <a:off x="152400" y="336276"/>
            <a:ext cx="1949174" cy="876542"/>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EB0B104F-F1D2-751E-755C-9A8758DFACAC}"/>
              </a:ext>
            </a:extLst>
          </xdr:cNvPr>
          <xdr:cNvSpPr txBox="1"/>
        </xdr:nvSpPr>
        <xdr:spPr>
          <a:xfrm>
            <a:off x="272177" y="368175"/>
            <a:ext cx="1779224" cy="23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tx2">
                    <a:lumMod val="75000"/>
                    <a:lumOff val="25000"/>
                  </a:schemeClr>
                </a:solidFill>
                <a:latin typeface="Cooper Black" panose="0208090404030B020404" pitchFamily="18" charset="0"/>
              </a:rPr>
              <a:t>Total Patients</a:t>
            </a:r>
          </a:p>
        </xdr:txBody>
      </xdr:sp>
      <xdr:sp macro="" textlink="'Pivot Table'!A5">
        <xdr:nvSpPr>
          <xdr:cNvPr id="7" name="TextBox 6">
            <a:extLst>
              <a:ext uri="{FF2B5EF4-FFF2-40B4-BE49-F238E27FC236}">
                <a16:creationId xmlns:a16="http://schemas.microsoft.com/office/drawing/2014/main" id="{CE14BED2-179C-981E-5CAA-869D689A6164}"/>
              </a:ext>
            </a:extLst>
          </xdr:cNvPr>
          <xdr:cNvSpPr txBox="1"/>
        </xdr:nvSpPr>
        <xdr:spPr>
          <a:xfrm>
            <a:off x="454330" y="675814"/>
            <a:ext cx="1917824" cy="615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DB5897B-B133-4018-83DA-6BA2119670D5}" type="TxLink">
              <a:rPr lang="en-US" sz="3200" b="0" i="0" u="none" strike="noStrike">
                <a:solidFill>
                  <a:srgbClr val="000000"/>
                </a:solidFill>
                <a:latin typeface="Cooper Black" panose="0208090404030B020404" pitchFamily="18" charset="0"/>
              </a:rPr>
              <a:pPr/>
              <a:t>1,000 </a:t>
            </a:fld>
            <a:endParaRPr lang="en-US" sz="3200">
              <a:solidFill>
                <a:schemeClr val="tx2">
                  <a:lumMod val="75000"/>
                  <a:lumOff val="25000"/>
                </a:schemeClr>
              </a:solidFill>
              <a:latin typeface="Cooper Black" panose="0208090404030B020404" pitchFamily="18" charset="0"/>
            </a:endParaRPr>
          </a:p>
        </xdr:txBody>
      </xdr:sp>
    </xdr:grpSp>
    <xdr:clientData/>
  </xdr:twoCellAnchor>
  <xdr:twoCellAnchor>
    <xdr:from>
      <xdr:col>12</xdr:col>
      <xdr:colOff>303385</xdr:colOff>
      <xdr:row>1</xdr:row>
      <xdr:rowOff>85148</xdr:rowOff>
    </xdr:from>
    <xdr:to>
      <xdr:col>16</xdr:col>
      <xdr:colOff>587451</xdr:colOff>
      <xdr:row>8</xdr:row>
      <xdr:rowOff>57699</xdr:rowOff>
    </xdr:to>
    <xdr:grpSp>
      <xdr:nvGrpSpPr>
        <xdr:cNvPr id="3" name="Group 2">
          <a:extLst>
            <a:ext uri="{FF2B5EF4-FFF2-40B4-BE49-F238E27FC236}">
              <a16:creationId xmlns:a16="http://schemas.microsoft.com/office/drawing/2014/main" id="{61D9F47C-7B9E-EF58-84EB-6B21E67F2E49}"/>
            </a:ext>
          </a:extLst>
        </xdr:cNvPr>
        <xdr:cNvGrpSpPr/>
      </xdr:nvGrpSpPr>
      <xdr:grpSpPr>
        <a:xfrm>
          <a:off x="8113885" y="646065"/>
          <a:ext cx="2739399" cy="1231967"/>
          <a:chOff x="152399" y="336275"/>
          <a:chExt cx="2756566" cy="1000876"/>
        </a:xfrm>
      </xdr:grpSpPr>
      <xdr:sp macro="" textlink="">
        <xdr:nvSpPr>
          <xdr:cNvPr id="5" name="Rectangle: Rounded Corners 4">
            <a:extLst>
              <a:ext uri="{FF2B5EF4-FFF2-40B4-BE49-F238E27FC236}">
                <a16:creationId xmlns:a16="http://schemas.microsoft.com/office/drawing/2014/main" id="{DB99B74E-02B3-B1A6-2BE4-ACE14968FEC4}"/>
              </a:ext>
            </a:extLst>
          </xdr:cNvPr>
          <xdr:cNvSpPr/>
        </xdr:nvSpPr>
        <xdr:spPr>
          <a:xfrm>
            <a:off x="152399" y="336275"/>
            <a:ext cx="2580122" cy="989539"/>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4B84A5A5-17C6-805D-0575-19D16A29E073}"/>
              </a:ext>
            </a:extLst>
          </xdr:cNvPr>
          <xdr:cNvSpPr txBox="1"/>
        </xdr:nvSpPr>
        <xdr:spPr>
          <a:xfrm>
            <a:off x="361681" y="404712"/>
            <a:ext cx="2415847" cy="232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tx2">
                    <a:lumMod val="75000"/>
                    <a:lumOff val="25000"/>
                  </a:schemeClr>
                </a:solidFill>
                <a:latin typeface="Cooper Black" panose="0208090404030B020404" pitchFamily="18" charset="0"/>
              </a:rPr>
              <a:t>Total Bill</a:t>
            </a:r>
            <a:r>
              <a:rPr lang="en-US" sz="1600" baseline="0">
                <a:solidFill>
                  <a:schemeClr val="tx2">
                    <a:lumMod val="75000"/>
                    <a:lumOff val="25000"/>
                  </a:schemeClr>
                </a:solidFill>
                <a:latin typeface="Cooper Black" panose="0208090404030B020404" pitchFamily="18" charset="0"/>
              </a:rPr>
              <a:t> Amount</a:t>
            </a:r>
            <a:endParaRPr lang="en-US" sz="1600">
              <a:solidFill>
                <a:schemeClr val="tx2">
                  <a:lumMod val="75000"/>
                  <a:lumOff val="25000"/>
                </a:schemeClr>
              </a:solidFill>
              <a:latin typeface="Cooper Black" panose="0208090404030B020404" pitchFamily="18" charset="0"/>
            </a:endParaRPr>
          </a:p>
        </xdr:txBody>
      </xdr:sp>
      <xdr:sp macro="" textlink="'Pivot Table'!C5">
        <xdr:nvSpPr>
          <xdr:cNvPr id="9" name="TextBox 8">
            <a:extLst>
              <a:ext uri="{FF2B5EF4-FFF2-40B4-BE49-F238E27FC236}">
                <a16:creationId xmlns:a16="http://schemas.microsoft.com/office/drawing/2014/main" id="{7DCF9850-1EEA-9C0B-BD18-6EC26649DC42}"/>
              </a:ext>
            </a:extLst>
          </xdr:cNvPr>
          <xdr:cNvSpPr txBox="1"/>
        </xdr:nvSpPr>
        <xdr:spPr>
          <a:xfrm>
            <a:off x="195561" y="709982"/>
            <a:ext cx="2713404" cy="6271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3A18E7F-F901-4503-9698-6C3AF861FDEA}" type="TxLink">
              <a:rPr lang="en-US" sz="3200" b="0" i="0" u="none" strike="noStrike">
                <a:solidFill>
                  <a:srgbClr val="000000"/>
                </a:solidFill>
                <a:latin typeface="Cooper Black" panose="0208090404030B020404" pitchFamily="18" charset="0"/>
              </a:rPr>
              <a:pPr/>
              <a:t>$8,053,143</a:t>
            </a:fld>
            <a:endParaRPr lang="en-US" sz="3200">
              <a:solidFill>
                <a:schemeClr val="tx2">
                  <a:lumMod val="75000"/>
                  <a:lumOff val="25000"/>
                </a:schemeClr>
              </a:solidFill>
              <a:latin typeface="Cooper Black" panose="0208090404030B020404" pitchFamily="18" charset="0"/>
            </a:endParaRPr>
          </a:p>
        </xdr:txBody>
      </xdr:sp>
    </xdr:grpSp>
    <xdr:clientData/>
  </xdr:twoCellAnchor>
  <xdr:twoCellAnchor>
    <xdr:from>
      <xdr:col>16</xdr:col>
      <xdr:colOff>526641</xdr:colOff>
      <xdr:row>1</xdr:row>
      <xdr:rowOff>119863</xdr:rowOff>
    </xdr:from>
    <xdr:to>
      <xdr:col>21</xdr:col>
      <xdr:colOff>161602</xdr:colOff>
      <xdr:row>8</xdr:row>
      <xdr:rowOff>50575</xdr:rowOff>
    </xdr:to>
    <xdr:grpSp>
      <xdr:nvGrpSpPr>
        <xdr:cNvPr id="11" name="Group 10">
          <a:extLst>
            <a:ext uri="{FF2B5EF4-FFF2-40B4-BE49-F238E27FC236}">
              <a16:creationId xmlns:a16="http://schemas.microsoft.com/office/drawing/2014/main" id="{24057EB3-390B-02FF-BBD0-D6AA9771359A}"/>
            </a:ext>
          </a:extLst>
        </xdr:cNvPr>
        <xdr:cNvGrpSpPr/>
      </xdr:nvGrpSpPr>
      <xdr:grpSpPr>
        <a:xfrm>
          <a:off x="10792474" y="680780"/>
          <a:ext cx="2704128" cy="1190128"/>
          <a:chOff x="152398" y="336273"/>
          <a:chExt cx="2808486" cy="973199"/>
        </a:xfrm>
      </xdr:grpSpPr>
      <xdr:sp macro="" textlink="">
        <xdr:nvSpPr>
          <xdr:cNvPr id="12" name="Rectangle: Rounded Corners 11">
            <a:extLst>
              <a:ext uri="{FF2B5EF4-FFF2-40B4-BE49-F238E27FC236}">
                <a16:creationId xmlns:a16="http://schemas.microsoft.com/office/drawing/2014/main" id="{AEA87588-57E6-A377-030C-3957B6BD250A}"/>
              </a:ext>
            </a:extLst>
          </xdr:cNvPr>
          <xdr:cNvSpPr/>
        </xdr:nvSpPr>
        <xdr:spPr>
          <a:xfrm>
            <a:off x="152398" y="336273"/>
            <a:ext cx="2662573" cy="973199"/>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D83BE4A4-8E6B-D3EE-EF7F-98060323989B}"/>
              </a:ext>
            </a:extLst>
          </xdr:cNvPr>
          <xdr:cNvSpPr txBox="1"/>
        </xdr:nvSpPr>
        <xdr:spPr>
          <a:xfrm>
            <a:off x="430402" y="383716"/>
            <a:ext cx="2461537" cy="297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2">
                    <a:lumMod val="75000"/>
                    <a:lumOff val="25000"/>
                  </a:schemeClr>
                </a:solidFill>
                <a:latin typeface="Cooper Black" panose="0208090404030B020404" pitchFamily="18" charset="0"/>
              </a:rPr>
              <a:t>Total </a:t>
            </a:r>
            <a:r>
              <a:rPr lang="en-US" sz="1400" baseline="0">
                <a:solidFill>
                  <a:schemeClr val="tx2">
                    <a:lumMod val="75000"/>
                    <a:lumOff val="25000"/>
                  </a:schemeClr>
                </a:solidFill>
                <a:latin typeface="Cooper Black" panose="0208090404030B020404" pitchFamily="18" charset="0"/>
              </a:rPr>
              <a:t>Amount Paid</a:t>
            </a:r>
            <a:endParaRPr lang="en-US" sz="1400">
              <a:solidFill>
                <a:schemeClr val="tx2">
                  <a:lumMod val="75000"/>
                  <a:lumOff val="25000"/>
                </a:schemeClr>
              </a:solidFill>
              <a:latin typeface="Cooper Black" panose="0208090404030B020404" pitchFamily="18" charset="0"/>
            </a:endParaRPr>
          </a:p>
        </xdr:txBody>
      </xdr:sp>
      <xdr:sp macro="" textlink="'Pivot Table'!H5">
        <xdr:nvSpPr>
          <xdr:cNvPr id="14" name="TextBox 13">
            <a:extLst>
              <a:ext uri="{FF2B5EF4-FFF2-40B4-BE49-F238E27FC236}">
                <a16:creationId xmlns:a16="http://schemas.microsoft.com/office/drawing/2014/main" id="{7E97F6FD-C574-B0B5-B709-D4BD8CA441B4}"/>
              </a:ext>
            </a:extLst>
          </xdr:cNvPr>
          <xdr:cNvSpPr txBox="1"/>
        </xdr:nvSpPr>
        <xdr:spPr>
          <a:xfrm>
            <a:off x="205108" y="692681"/>
            <a:ext cx="2755776" cy="599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A93BF6C-CE7D-4F25-B7CE-967BE4BC6142}" type="TxLink">
              <a:rPr lang="en-US" sz="3200" b="0" i="0" u="none" strike="noStrike">
                <a:solidFill>
                  <a:srgbClr val="000000"/>
                </a:solidFill>
                <a:latin typeface="Cooper Black" panose="0208090404030B020404" pitchFamily="18" charset="0"/>
              </a:rPr>
              <a:pPr/>
              <a:t>$4,568,527</a:t>
            </a:fld>
            <a:endParaRPr lang="en-US" sz="3200" b="0" i="0" u="none" strike="noStrike">
              <a:solidFill>
                <a:schemeClr val="tx2">
                  <a:lumMod val="75000"/>
                  <a:lumOff val="25000"/>
                </a:schemeClr>
              </a:solidFill>
              <a:latin typeface="Cooper Black" panose="0208090404030B020404" pitchFamily="18" charset="0"/>
            </a:endParaRPr>
          </a:p>
        </xdr:txBody>
      </xdr:sp>
    </xdr:grpSp>
    <xdr:clientData/>
  </xdr:twoCellAnchor>
  <xdr:twoCellAnchor>
    <xdr:from>
      <xdr:col>21</xdr:col>
      <xdr:colOff>128648</xdr:colOff>
      <xdr:row>1</xdr:row>
      <xdr:rowOff>143943</xdr:rowOff>
    </xdr:from>
    <xdr:to>
      <xdr:col>26</xdr:col>
      <xdr:colOff>529315</xdr:colOff>
      <xdr:row>8</xdr:row>
      <xdr:rowOff>92575</xdr:rowOff>
    </xdr:to>
    <xdr:grpSp>
      <xdr:nvGrpSpPr>
        <xdr:cNvPr id="15" name="Group 14">
          <a:extLst>
            <a:ext uri="{FF2B5EF4-FFF2-40B4-BE49-F238E27FC236}">
              <a16:creationId xmlns:a16="http://schemas.microsoft.com/office/drawing/2014/main" id="{9184286B-D8DE-33F3-F180-2535818A0481}"/>
            </a:ext>
          </a:extLst>
        </xdr:cNvPr>
        <xdr:cNvGrpSpPr/>
      </xdr:nvGrpSpPr>
      <xdr:grpSpPr>
        <a:xfrm>
          <a:off x="13463648" y="704860"/>
          <a:ext cx="3469834" cy="1208048"/>
          <a:chOff x="152399" y="336274"/>
          <a:chExt cx="3364144" cy="999716"/>
        </a:xfrm>
      </xdr:grpSpPr>
      <xdr:sp macro="" textlink="">
        <xdr:nvSpPr>
          <xdr:cNvPr id="16" name="Rectangle: Rounded Corners 15">
            <a:extLst>
              <a:ext uri="{FF2B5EF4-FFF2-40B4-BE49-F238E27FC236}">
                <a16:creationId xmlns:a16="http://schemas.microsoft.com/office/drawing/2014/main" id="{93763539-C9AA-7853-35C7-0ECDA233A764}"/>
              </a:ext>
            </a:extLst>
          </xdr:cNvPr>
          <xdr:cNvSpPr/>
        </xdr:nvSpPr>
        <xdr:spPr>
          <a:xfrm>
            <a:off x="152399" y="336274"/>
            <a:ext cx="2580123" cy="961279"/>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E897C0AE-DB3D-9C43-EA00-2F851D9E0294}"/>
              </a:ext>
            </a:extLst>
          </xdr:cNvPr>
          <xdr:cNvSpPr txBox="1"/>
        </xdr:nvSpPr>
        <xdr:spPr>
          <a:xfrm>
            <a:off x="186356" y="378439"/>
            <a:ext cx="2568254" cy="232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tx2">
                    <a:lumMod val="75000"/>
                    <a:lumOff val="25000"/>
                  </a:schemeClr>
                </a:solidFill>
                <a:latin typeface="Cooper Black" panose="0208090404030B020404" pitchFamily="18" charset="0"/>
              </a:rPr>
              <a:t>Average Length of Stay</a:t>
            </a:r>
          </a:p>
        </xdr:txBody>
      </xdr:sp>
      <xdr:sp macro="" textlink="'Pivot Table'!E5">
        <xdr:nvSpPr>
          <xdr:cNvPr id="18" name="TextBox 17">
            <a:extLst>
              <a:ext uri="{FF2B5EF4-FFF2-40B4-BE49-F238E27FC236}">
                <a16:creationId xmlns:a16="http://schemas.microsoft.com/office/drawing/2014/main" id="{A9188833-BCFC-B10F-9937-0EE94BB4D451}"/>
              </a:ext>
            </a:extLst>
          </xdr:cNvPr>
          <xdr:cNvSpPr txBox="1"/>
        </xdr:nvSpPr>
        <xdr:spPr>
          <a:xfrm>
            <a:off x="922366" y="701543"/>
            <a:ext cx="2594177" cy="634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6A94984-452F-4D5B-89BB-C6BDE4F38A7C}" type="TxLink">
              <a:rPr lang="en-US" sz="3200" b="0" i="0" u="none" strike="noStrike">
                <a:solidFill>
                  <a:srgbClr val="000000"/>
                </a:solidFill>
                <a:latin typeface="Cooper Black" panose="0208090404030B020404" pitchFamily="18" charset="0"/>
              </a:rPr>
              <a:pPr/>
              <a:t>4.8</a:t>
            </a:fld>
            <a:endParaRPr lang="en-US" sz="3200" b="0" i="0" u="none" strike="noStrike">
              <a:solidFill>
                <a:schemeClr val="tx2">
                  <a:lumMod val="75000"/>
                  <a:lumOff val="25000"/>
                </a:schemeClr>
              </a:solidFill>
              <a:latin typeface="Cooper Black" panose="0208090404030B020404" pitchFamily="18" charset="0"/>
            </a:endParaRPr>
          </a:p>
        </xdr:txBody>
      </xdr:sp>
    </xdr:grpSp>
    <xdr:clientData/>
  </xdr:twoCellAnchor>
  <xdr:twoCellAnchor>
    <xdr:from>
      <xdr:col>25</xdr:col>
      <xdr:colOff>474064</xdr:colOff>
      <xdr:row>1</xdr:row>
      <xdr:rowOff>138105</xdr:rowOff>
    </xdr:from>
    <xdr:to>
      <xdr:col>30</xdr:col>
      <xdr:colOff>352189</xdr:colOff>
      <xdr:row>8</xdr:row>
      <xdr:rowOff>146736</xdr:rowOff>
    </xdr:to>
    <xdr:grpSp>
      <xdr:nvGrpSpPr>
        <xdr:cNvPr id="10" name="Group 9">
          <a:extLst>
            <a:ext uri="{FF2B5EF4-FFF2-40B4-BE49-F238E27FC236}">
              <a16:creationId xmlns:a16="http://schemas.microsoft.com/office/drawing/2014/main" id="{4BF412CB-753C-E8BB-B8CB-E1D5C1D315F1}"/>
            </a:ext>
          </a:extLst>
        </xdr:cNvPr>
        <xdr:cNvGrpSpPr/>
      </xdr:nvGrpSpPr>
      <xdr:grpSpPr>
        <a:xfrm>
          <a:off x="16264397" y="699022"/>
          <a:ext cx="2947292" cy="1268047"/>
          <a:chOff x="152399" y="336273"/>
          <a:chExt cx="3291097" cy="990959"/>
        </a:xfrm>
      </xdr:grpSpPr>
      <xdr:sp macro="" textlink="">
        <xdr:nvSpPr>
          <xdr:cNvPr id="19" name="Rectangle: Rounded Corners 18">
            <a:extLst>
              <a:ext uri="{FF2B5EF4-FFF2-40B4-BE49-F238E27FC236}">
                <a16:creationId xmlns:a16="http://schemas.microsoft.com/office/drawing/2014/main" id="{899DA85A-39E4-41FC-D769-ECE123F85C37}"/>
              </a:ext>
            </a:extLst>
          </xdr:cNvPr>
          <xdr:cNvSpPr/>
        </xdr:nvSpPr>
        <xdr:spPr>
          <a:xfrm>
            <a:off x="152399" y="336273"/>
            <a:ext cx="2580123" cy="926450"/>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9640C437-F2C7-0A02-2202-D9094BA9768C}"/>
              </a:ext>
            </a:extLst>
          </xdr:cNvPr>
          <xdr:cNvSpPr txBox="1"/>
        </xdr:nvSpPr>
        <xdr:spPr>
          <a:xfrm>
            <a:off x="186357" y="381768"/>
            <a:ext cx="2568253" cy="247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tx2">
                    <a:lumMod val="75000"/>
                    <a:lumOff val="25000"/>
                  </a:schemeClr>
                </a:solidFill>
                <a:latin typeface="Cooper Black" panose="0208090404030B020404" pitchFamily="18" charset="0"/>
              </a:rPr>
              <a:t>Insurance Coverage</a:t>
            </a:r>
          </a:p>
        </xdr:txBody>
      </xdr:sp>
      <xdr:sp macro="" textlink="'Pivot Table'!G5">
        <xdr:nvSpPr>
          <xdr:cNvPr id="21" name="TextBox 20">
            <a:extLst>
              <a:ext uri="{FF2B5EF4-FFF2-40B4-BE49-F238E27FC236}">
                <a16:creationId xmlns:a16="http://schemas.microsoft.com/office/drawing/2014/main" id="{F460BD6E-E05D-8F0A-D0D2-F9975830F1FE}"/>
              </a:ext>
            </a:extLst>
          </xdr:cNvPr>
          <xdr:cNvSpPr txBox="1"/>
        </xdr:nvSpPr>
        <xdr:spPr>
          <a:xfrm>
            <a:off x="849319" y="692785"/>
            <a:ext cx="2594177" cy="634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7549E1-3538-4083-B191-0E6D84A0A0B4}" type="TxLink">
              <a:rPr lang="en-US" sz="3200" b="0" i="0" u="none" strike="noStrike">
                <a:solidFill>
                  <a:srgbClr val="000000"/>
                </a:solidFill>
                <a:latin typeface="Cooper Black" panose="0208090404030B020404" pitchFamily="18" charset="0"/>
              </a:rPr>
              <a:pPr/>
              <a:t>75%</a:t>
            </a:fld>
            <a:endParaRPr lang="en-US" sz="3200" b="0" i="0" u="none" strike="noStrike">
              <a:solidFill>
                <a:schemeClr val="tx2">
                  <a:lumMod val="75000"/>
                  <a:lumOff val="25000"/>
                </a:schemeClr>
              </a:solidFill>
              <a:latin typeface="Cooper Black" panose="0208090404030B020404" pitchFamily="18" charset="0"/>
            </a:endParaRPr>
          </a:p>
        </xdr:txBody>
      </xdr:sp>
    </xdr:grpSp>
    <xdr:clientData/>
  </xdr:twoCellAnchor>
  <xdr:twoCellAnchor>
    <xdr:from>
      <xdr:col>9</xdr:col>
      <xdr:colOff>163640</xdr:colOff>
      <xdr:row>9</xdr:row>
      <xdr:rowOff>142362</xdr:rowOff>
    </xdr:from>
    <xdr:to>
      <xdr:col>16</xdr:col>
      <xdr:colOff>96896</xdr:colOff>
      <xdr:row>25</xdr:row>
      <xdr:rowOff>10992</xdr:rowOff>
    </xdr:to>
    <xdr:grpSp>
      <xdr:nvGrpSpPr>
        <xdr:cNvPr id="33" name="Group 32">
          <a:extLst>
            <a:ext uri="{FF2B5EF4-FFF2-40B4-BE49-F238E27FC236}">
              <a16:creationId xmlns:a16="http://schemas.microsoft.com/office/drawing/2014/main" id="{0AEBCEDD-5757-0002-80E6-D7EEADBAA083}"/>
            </a:ext>
          </a:extLst>
        </xdr:cNvPr>
        <xdr:cNvGrpSpPr/>
      </xdr:nvGrpSpPr>
      <xdr:grpSpPr>
        <a:xfrm>
          <a:off x="6132640" y="2142612"/>
          <a:ext cx="4230089" cy="2747297"/>
          <a:chOff x="142890" y="1922018"/>
          <a:chExt cx="4181999" cy="2797800"/>
        </a:xfrm>
      </xdr:grpSpPr>
      <xdr:sp macro="" textlink="">
        <xdr:nvSpPr>
          <xdr:cNvPr id="23" name="Rectangle: Rounded Corners 22">
            <a:extLst>
              <a:ext uri="{FF2B5EF4-FFF2-40B4-BE49-F238E27FC236}">
                <a16:creationId xmlns:a16="http://schemas.microsoft.com/office/drawing/2014/main" id="{771C6221-2ED8-FD0D-1DAA-D028A549B631}"/>
              </a:ext>
            </a:extLst>
          </xdr:cNvPr>
          <xdr:cNvSpPr/>
        </xdr:nvSpPr>
        <xdr:spPr>
          <a:xfrm>
            <a:off x="142890" y="1922018"/>
            <a:ext cx="4181999" cy="2797800"/>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B830E699-7DE5-4C56-9229-6168767112EE}"/>
              </a:ext>
            </a:extLst>
          </xdr:cNvPr>
          <xdr:cNvGraphicFramePr>
            <a:graphicFrameLocks/>
          </xdr:cNvGraphicFramePr>
        </xdr:nvGraphicFramePr>
        <xdr:xfrm>
          <a:off x="203691" y="1982819"/>
          <a:ext cx="4062564" cy="268187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oneCellAnchor>
    <xdr:from>
      <xdr:col>14</xdr:col>
      <xdr:colOff>14445</xdr:colOff>
      <xdr:row>19</xdr:row>
      <xdr:rowOff>159333</xdr:rowOff>
    </xdr:from>
    <xdr:ext cx="184731" cy="264560"/>
    <xdr:sp macro="" textlink="">
      <xdr:nvSpPr>
        <xdr:cNvPr id="38" name="TextBox 37">
          <a:extLst>
            <a:ext uri="{FF2B5EF4-FFF2-40B4-BE49-F238E27FC236}">
              <a16:creationId xmlns:a16="http://schemas.microsoft.com/office/drawing/2014/main" id="{1155FDB4-4109-2D7F-D6BD-F533E5C3D64A}"/>
            </a:ext>
          </a:extLst>
        </xdr:cNvPr>
        <xdr:cNvSpPr txBox="1"/>
      </xdr:nvSpPr>
      <xdr:spPr>
        <a:xfrm>
          <a:off x="9046773" y="40788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216097</xdr:colOff>
      <xdr:row>9</xdr:row>
      <xdr:rowOff>135151</xdr:rowOff>
    </xdr:from>
    <xdr:to>
      <xdr:col>22</xdr:col>
      <xdr:colOff>605755</xdr:colOff>
      <xdr:row>24</xdr:row>
      <xdr:rowOff>179904</xdr:rowOff>
    </xdr:to>
    <xdr:grpSp>
      <xdr:nvGrpSpPr>
        <xdr:cNvPr id="29" name="Group 28">
          <a:extLst>
            <a:ext uri="{FF2B5EF4-FFF2-40B4-BE49-F238E27FC236}">
              <a16:creationId xmlns:a16="http://schemas.microsoft.com/office/drawing/2014/main" id="{06A21ACF-E1D8-E6E3-323B-C9F1853EEAC2}"/>
            </a:ext>
          </a:extLst>
        </xdr:cNvPr>
        <xdr:cNvGrpSpPr/>
      </xdr:nvGrpSpPr>
      <xdr:grpSpPr>
        <a:xfrm>
          <a:off x="10481930" y="2135401"/>
          <a:ext cx="4072658" cy="2743503"/>
          <a:chOff x="8100681" y="2776283"/>
          <a:chExt cx="4056195" cy="2875207"/>
        </a:xfrm>
      </xdr:grpSpPr>
      <xdr:grpSp>
        <xdr:nvGrpSpPr>
          <xdr:cNvPr id="28" name="Group 27">
            <a:extLst>
              <a:ext uri="{FF2B5EF4-FFF2-40B4-BE49-F238E27FC236}">
                <a16:creationId xmlns:a16="http://schemas.microsoft.com/office/drawing/2014/main" id="{D337BD95-C25D-6A4E-AB8D-9B5687A8E535}"/>
              </a:ext>
            </a:extLst>
          </xdr:cNvPr>
          <xdr:cNvGrpSpPr/>
        </xdr:nvGrpSpPr>
        <xdr:grpSpPr>
          <a:xfrm>
            <a:off x="8100681" y="2776283"/>
            <a:ext cx="4056195" cy="2875207"/>
            <a:chOff x="8100681" y="2776283"/>
            <a:chExt cx="4056195" cy="2875207"/>
          </a:xfrm>
        </xdr:grpSpPr>
        <xdr:sp macro="" textlink="">
          <xdr:nvSpPr>
            <xdr:cNvPr id="34" name="Rectangle: Rounded Corners 33">
              <a:extLst>
                <a:ext uri="{FF2B5EF4-FFF2-40B4-BE49-F238E27FC236}">
                  <a16:creationId xmlns:a16="http://schemas.microsoft.com/office/drawing/2014/main" id="{8900DFA2-8533-5943-1187-0E2DA7A0B11E}"/>
                </a:ext>
              </a:extLst>
            </xdr:cNvPr>
            <xdr:cNvSpPr/>
          </xdr:nvSpPr>
          <xdr:spPr>
            <a:xfrm>
              <a:off x="8100681" y="2776283"/>
              <a:ext cx="4056195" cy="2875207"/>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8FDC97DD-8CDC-42A2-81F0-58C3B5D58E94}"/>
                </a:ext>
              </a:extLst>
            </xdr:cNvPr>
            <xdr:cNvGraphicFramePr>
              <a:graphicFrameLocks/>
            </xdr:cNvGraphicFramePr>
          </xdr:nvGraphicFramePr>
          <xdr:xfrm>
            <a:off x="8171236" y="2841809"/>
            <a:ext cx="3820696" cy="2585191"/>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37" name="Oval 36">
            <a:extLst>
              <a:ext uri="{FF2B5EF4-FFF2-40B4-BE49-F238E27FC236}">
                <a16:creationId xmlns:a16="http://schemas.microsoft.com/office/drawing/2014/main" id="{7469C181-BE1F-035F-568C-930DFEEA4F80}"/>
              </a:ext>
            </a:extLst>
          </xdr:cNvPr>
          <xdr:cNvSpPr/>
        </xdr:nvSpPr>
        <xdr:spPr>
          <a:xfrm>
            <a:off x="9194982" y="3855954"/>
            <a:ext cx="943605" cy="913649"/>
          </a:xfrm>
          <a:prstGeom prst="ellipse">
            <a:avLst/>
          </a:prstGeom>
          <a:solidFill>
            <a:schemeClr val="bg1"/>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grpSp>
        <xdr:nvGrpSpPr>
          <xdr:cNvPr id="42" name="Group 41">
            <a:extLst>
              <a:ext uri="{FF2B5EF4-FFF2-40B4-BE49-F238E27FC236}">
                <a16:creationId xmlns:a16="http://schemas.microsoft.com/office/drawing/2014/main" id="{BBF42A8B-3B4E-0261-302A-235F89ACE5BB}"/>
              </a:ext>
            </a:extLst>
          </xdr:cNvPr>
          <xdr:cNvGrpSpPr/>
        </xdr:nvGrpSpPr>
        <xdr:grpSpPr>
          <a:xfrm>
            <a:off x="9175693" y="4152932"/>
            <a:ext cx="1023164" cy="409954"/>
            <a:chOff x="7504170" y="3658252"/>
            <a:chExt cx="1021427" cy="402150"/>
          </a:xfrm>
        </xdr:grpSpPr>
        <xdr:sp macro="" textlink="">
          <xdr:nvSpPr>
            <xdr:cNvPr id="40" name="TextBox 39">
              <a:extLst>
                <a:ext uri="{FF2B5EF4-FFF2-40B4-BE49-F238E27FC236}">
                  <a16:creationId xmlns:a16="http://schemas.microsoft.com/office/drawing/2014/main" id="{39DC9BC1-5BFC-6F42-B411-CE10DBCC5CFA}"/>
                </a:ext>
              </a:extLst>
            </xdr:cNvPr>
            <xdr:cNvSpPr txBox="1"/>
          </xdr:nvSpPr>
          <xdr:spPr>
            <a:xfrm>
              <a:off x="7504170" y="3658252"/>
              <a:ext cx="1021427" cy="2246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tx2">
                      <a:lumMod val="75000"/>
                      <a:lumOff val="25000"/>
                    </a:schemeClr>
                  </a:solidFill>
                  <a:effectLst/>
                  <a:latin typeface="Cooper Black" panose="0208090404030B020404" pitchFamily="18" charset="0"/>
                  <a:ea typeface="+mn-ea"/>
                  <a:cs typeface="+mn-cs"/>
                </a:rPr>
                <a:t>Total Patients</a:t>
              </a:r>
              <a:endParaRPr lang="en-US" sz="900">
                <a:solidFill>
                  <a:schemeClr val="tx2">
                    <a:lumMod val="75000"/>
                    <a:lumOff val="25000"/>
                  </a:schemeClr>
                </a:solidFill>
                <a:effectLst/>
                <a:latin typeface="Cooper Black" panose="0208090404030B020404" pitchFamily="18" charset="0"/>
              </a:endParaRPr>
            </a:p>
          </xdr:txBody>
        </xdr:sp>
        <xdr:sp macro="" textlink="'Pivot Table'!A5">
          <xdr:nvSpPr>
            <xdr:cNvPr id="41" name="TextBox 40">
              <a:extLst>
                <a:ext uri="{FF2B5EF4-FFF2-40B4-BE49-F238E27FC236}">
                  <a16:creationId xmlns:a16="http://schemas.microsoft.com/office/drawing/2014/main" id="{8B1EC0B9-0D81-3521-4FB3-F29B2D862B4C}"/>
                </a:ext>
              </a:extLst>
            </xdr:cNvPr>
            <xdr:cNvSpPr txBox="1"/>
          </xdr:nvSpPr>
          <xdr:spPr>
            <a:xfrm>
              <a:off x="7714296" y="3814260"/>
              <a:ext cx="540703" cy="246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D280E690-32E3-4002-ADD8-DF87ED672071}" type="TxLink">
                <a:rPr lang="en-US" sz="1000" b="0" i="0" u="none" strike="noStrike">
                  <a:solidFill>
                    <a:srgbClr val="000000"/>
                  </a:solidFill>
                  <a:effectLst/>
                  <a:latin typeface="Cooper Black" panose="0208090404030B020404" pitchFamily="18" charset="0"/>
                </a:rPr>
                <a:pPr marL="0" marR="0" lvl="0" indent="0" defTabSz="914400" eaLnBrk="1" fontAlgn="auto" latinLnBrk="0" hangingPunct="1">
                  <a:lnSpc>
                    <a:spcPct val="100000"/>
                  </a:lnSpc>
                  <a:spcBef>
                    <a:spcPts val="0"/>
                  </a:spcBef>
                  <a:spcAft>
                    <a:spcPts val="0"/>
                  </a:spcAft>
                  <a:buClrTx/>
                  <a:buSzTx/>
                  <a:buFontTx/>
                  <a:buNone/>
                  <a:tabLst/>
                  <a:defRPr/>
                </a:pPr>
                <a:t>1,000 </a:t>
              </a:fld>
              <a:endParaRPr lang="en-US" sz="1000">
                <a:solidFill>
                  <a:schemeClr val="tx2">
                    <a:lumMod val="75000"/>
                    <a:lumOff val="25000"/>
                  </a:schemeClr>
                </a:solidFill>
                <a:effectLst/>
                <a:latin typeface="Cooper Black" panose="0208090404030B020404" pitchFamily="18" charset="0"/>
              </a:endParaRPr>
            </a:p>
          </xdr:txBody>
        </xdr:sp>
      </xdr:grpSp>
    </xdr:grpSp>
    <xdr:clientData/>
  </xdr:twoCellAnchor>
  <xdr:twoCellAnchor>
    <xdr:from>
      <xdr:col>23</xdr:col>
      <xdr:colOff>84582</xdr:colOff>
      <xdr:row>9</xdr:row>
      <xdr:rowOff>142591</xdr:rowOff>
    </xdr:from>
    <xdr:to>
      <xdr:col>29</xdr:col>
      <xdr:colOff>474240</xdr:colOff>
      <xdr:row>25</xdr:row>
      <xdr:rowOff>7428</xdr:rowOff>
    </xdr:to>
    <xdr:grpSp>
      <xdr:nvGrpSpPr>
        <xdr:cNvPr id="27" name="Group 26">
          <a:extLst>
            <a:ext uri="{FF2B5EF4-FFF2-40B4-BE49-F238E27FC236}">
              <a16:creationId xmlns:a16="http://schemas.microsoft.com/office/drawing/2014/main" id="{AA1E8B1F-AAA3-7F99-3F96-13DAB649FA0E}"/>
            </a:ext>
          </a:extLst>
        </xdr:cNvPr>
        <xdr:cNvGrpSpPr/>
      </xdr:nvGrpSpPr>
      <xdr:grpSpPr>
        <a:xfrm>
          <a:off x="14647249" y="2142841"/>
          <a:ext cx="4072658" cy="2743504"/>
          <a:chOff x="12356541" y="2795482"/>
          <a:chExt cx="4056195" cy="2875208"/>
        </a:xfrm>
      </xdr:grpSpPr>
      <xdr:sp macro="" textlink="">
        <xdr:nvSpPr>
          <xdr:cNvPr id="45" name="Rectangle: Rounded Corners 44">
            <a:extLst>
              <a:ext uri="{FF2B5EF4-FFF2-40B4-BE49-F238E27FC236}">
                <a16:creationId xmlns:a16="http://schemas.microsoft.com/office/drawing/2014/main" id="{EF2ECC1E-EA4B-3F62-C36E-EDD603AD6E7D}"/>
              </a:ext>
            </a:extLst>
          </xdr:cNvPr>
          <xdr:cNvSpPr/>
        </xdr:nvSpPr>
        <xdr:spPr>
          <a:xfrm>
            <a:off x="12356541" y="2795482"/>
            <a:ext cx="4056195" cy="2875208"/>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1A2F4C9D-68DC-4B08-94A6-55D15FD1CCCD}"/>
              </a:ext>
            </a:extLst>
          </xdr:cNvPr>
          <xdr:cNvGraphicFramePr>
            <a:graphicFrameLocks/>
          </xdr:cNvGraphicFramePr>
        </xdr:nvGraphicFramePr>
        <xdr:xfrm>
          <a:off x="12477588" y="2916075"/>
          <a:ext cx="3862917" cy="258115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21</xdr:col>
      <xdr:colOff>423333</xdr:colOff>
      <xdr:row>26</xdr:row>
      <xdr:rowOff>5490</xdr:rowOff>
    </xdr:from>
    <xdr:to>
      <xdr:col>29</xdr:col>
      <xdr:colOff>488660</xdr:colOff>
      <xdr:row>43</xdr:row>
      <xdr:rowOff>95254</xdr:rowOff>
    </xdr:to>
    <xdr:grpSp>
      <xdr:nvGrpSpPr>
        <xdr:cNvPr id="31" name="Group 30">
          <a:extLst>
            <a:ext uri="{FF2B5EF4-FFF2-40B4-BE49-F238E27FC236}">
              <a16:creationId xmlns:a16="http://schemas.microsoft.com/office/drawing/2014/main" id="{D4435465-AF2F-F029-BF6A-A51C96A1FCFC}"/>
            </a:ext>
          </a:extLst>
        </xdr:cNvPr>
        <xdr:cNvGrpSpPr/>
      </xdr:nvGrpSpPr>
      <xdr:grpSpPr>
        <a:xfrm>
          <a:off x="13758333" y="5064323"/>
          <a:ext cx="4975994" cy="3148348"/>
          <a:chOff x="3845354" y="5741656"/>
          <a:chExt cx="4046938" cy="2876907"/>
        </a:xfrm>
      </xdr:grpSpPr>
      <xdr:sp macro="" textlink="">
        <xdr:nvSpPr>
          <xdr:cNvPr id="51" name="Rectangle: Rounded Corners 50">
            <a:extLst>
              <a:ext uri="{FF2B5EF4-FFF2-40B4-BE49-F238E27FC236}">
                <a16:creationId xmlns:a16="http://schemas.microsoft.com/office/drawing/2014/main" id="{94616565-1D9A-2CFC-4359-E0073DFE8633}"/>
              </a:ext>
            </a:extLst>
          </xdr:cNvPr>
          <xdr:cNvSpPr/>
        </xdr:nvSpPr>
        <xdr:spPr>
          <a:xfrm>
            <a:off x="3845354" y="5741656"/>
            <a:ext cx="4046938" cy="2876907"/>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1B90BA9F-23C0-499A-90C5-CCCF45CCABB3}"/>
              </a:ext>
            </a:extLst>
          </xdr:cNvPr>
          <xdr:cNvGraphicFramePr>
            <a:graphicFrameLocks/>
          </xdr:cNvGraphicFramePr>
        </xdr:nvGraphicFramePr>
        <xdr:xfrm>
          <a:off x="3922249" y="5849846"/>
          <a:ext cx="3914192" cy="259627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412752</xdr:colOff>
      <xdr:row>25</xdr:row>
      <xdr:rowOff>162688</xdr:rowOff>
    </xdr:from>
    <xdr:to>
      <xdr:col>21</xdr:col>
      <xdr:colOff>204727</xdr:colOff>
      <xdr:row>43</xdr:row>
      <xdr:rowOff>158748</xdr:rowOff>
    </xdr:to>
    <xdr:grpSp>
      <xdr:nvGrpSpPr>
        <xdr:cNvPr id="30" name="Group 29">
          <a:extLst>
            <a:ext uri="{FF2B5EF4-FFF2-40B4-BE49-F238E27FC236}">
              <a16:creationId xmlns:a16="http://schemas.microsoft.com/office/drawing/2014/main" id="{A64E17A5-C5F1-F6BA-80D4-ABE3AC1A34F3}"/>
            </a:ext>
          </a:extLst>
        </xdr:cNvPr>
        <xdr:cNvGrpSpPr/>
      </xdr:nvGrpSpPr>
      <xdr:grpSpPr>
        <a:xfrm>
          <a:off x="6381752" y="5041605"/>
          <a:ext cx="7157975" cy="3234560"/>
          <a:chOff x="8070723" y="5722468"/>
          <a:chExt cx="5322007" cy="2953384"/>
        </a:xfrm>
      </xdr:grpSpPr>
      <xdr:sp macro="" textlink="">
        <xdr:nvSpPr>
          <xdr:cNvPr id="53" name="Rectangle: Rounded Corners 52">
            <a:extLst>
              <a:ext uri="{FF2B5EF4-FFF2-40B4-BE49-F238E27FC236}">
                <a16:creationId xmlns:a16="http://schemas.microsoft.com/office/drawing/2014/main" id="{EEF29A38-4BA6-E6E0-4EFB-DC4520876914}"/>
              </a:ext>
            </a:extLst>
          </xdr:cNvPr>
          <xdr:cNvSpPr/>
        </xdr:nvSpPr>
        <xdr:spPr>
          <a:xfrm>
            <a:off x="8070723" y="5749738"/>
            <a:ext cx="5322007" cy="2873432"/>
          </a:xfrm>
          <a:prstGeom prst="roundRect">
            <a:avLst>
              <a:gd name="adj" fmla="val 5556"/>
            </a:avLst>
          </a:prstGeom>
          <a:ln w="12700">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F2D832B0-76DF-4197-9875-130C7690A267}"/>
              </a:ext>
            </a:extLst>
          </xdr:cNvPr>
          <xdr:cNvGraphicFramePr>
            <a:graphicFrameLocks/>
          </xdr:cNvGraphicFramePr>
        </xdr:nvGraphicFramePr>
        <xdr:xfrm>
          <a:off x="8124457" y="5722468"/>
          <a:ext cx="5177823" cy="295338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83672</xdr:colOff>
      <xdr:row>0</xdr:row>
      <xdr:rowOff>73511</xdr:rowOff>
    </xdr:from>
    <xdr:to>
      <xdr:col>8</xdr:col>
      <xdr:colOff>1037166</xdr:colOff>
      <xdr:row>30</xdr:row>
      <xdr:rowOff>148167</xdr:rowOff>
    </xdr:to>
    <mc:AlternateContent xmlns:mc="http://schemas.openxmlformats.org/markup-compatibility/2006" xmlns:a14="http://schemas.microsoft.com/office/drawing/2010/main">
      <mc:Choice Requires="a14">
        <xdr:graphicFrame macro="">
          <xdr:nvGraphicFramePr>
            <xdr:cNvPr id="24" name="Diagnosis">
              <a:extLst>
                <a:ext uri="{FF2B5EF4-FFF2-40B4-BE49-F238E27FC236}">
                  <a16:creationId xmlns:a16="http://schemas.microsoft.com/office/drawing/2014/main" id="{AACD64F4-E3D8-47C1-BBE1-71DC5463F38A}"/>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83672" y="73511"/>
              <a:ext cx="5864161" cy="5853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71877</xdr:colOff>
      <xdr:row>31</xdr:row>
      <xdr:rowOff>41320</xdr:rowOff>
    </xdr:from>
    <xdr:to>
      <xdr:col>8</xdr:col>
      <xdr:colOff>1037166</xdr:colOff>
      <xdr:row>38</xdr:row>
      <xdr:rowOff>10590</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78BD35ED-0A3A-46DC-93F0-670D33C140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877" y="5999737"/>
              <a:ext cx="5875956" cy="1228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70112</xdr:colOff>
      <xdr:row>38</xdr:row>
      <xdr:rowOff>133506</xdr:rowOff>
    </xdr:from>
    <xdr:to>
      <xdr:col>9</xdr:col>
      <xdr:colOff>0</xdr:colOff>
      <xdr:row>43</xdr:row>
      <xdr:rowOff>52914</xdr:rowOff>
    </xdr:to>
    <mc:AlternateContent xmlns:mc="http://schemas.openxmlformats.org/markup-compatibility/2006" xmlns:a14="http://schemas.microsoft.com/office/drawing/2010/main">
      <mc:Choice Requires="a14">
        <xdr:graphicFrame macro="">
          <xdr:nvGraphicFramePr>
            <xdr:cNvPr id="25" name="Years (Admission Date)">
              <a:extLst>
                <a:ext uri="{FF2B5EF4-FFF2-40B4-BE49-F238E27FC236}">
                  <a16:creationId xmlns:a16="http://schemas.microsoft.com/office/drawing/2014/main" id="{3C2703B0-8C16-4441-89FB-7A0D0F955E84}"/>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70112" y="7351339"/>
              <a:ext cx="5898888" cy="818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 Captain~" refreshedDate="46318.622770138893" createdVersion="8" refreshedVersion="8" minRefreshableVersion="3" recordCount="1000" xr:uid="{A261340D-6BA1-462D-8EA5-B0EA8F571F53}">
  <cacheSource type="worksheet">
    <worksheetSource ref="A1:N1001" sheet="Hospital Patients"/>
  </cacheSource>
  <cacheFields count="20">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acheField>
    <cacheField name="Gender" numFmtId="0">
      <sharedItems count="2">
        <s v="Male"/>
        <s v="Female"/>
      </sharedItems>
    </cacheField>
    <cacheField name="Admission Date" numFmtId="165">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6"/>
    </cacheField>
    <cacheField name="Discharge Date" numFmtId="165">
      <sharedItems containsSemiMixedTypes="0" containsNonDate="0" containsDate="1" containsString="0" minDate="2024-01-02T00:00:00" maxDate="2026-01-04T00:00:00" count="552">
        <d v="2024-07-23T00:00:00"/>
        <d v="2025-03-23T00:00:00"/>
        <d v="2024-04-08T00:00:00"/>
        <d v="2024-10-24T00:00:00"/>
        <d v="2024-12-01T00:00:00"/>
        <d v="2024-07-28T00:00:00"/>
        <d v="2024-02-13T00:00:00"/>
        <d v="2024-02-27T00:00:00"/>
        <d v="2024-11-17T00:00:00"/>
        <d v="2025-08-06T00:00:00"/>
        <d v="2025-11-08T00:00:00"/>
        <d v="2025-03-08T00:00:00"/>
        <d v="2024-07-29T00:00:00"/>
        <d v="2024-08-22T00:00:00"/>
        <d v="2025-12-21T00:00:00"/>
        <d v="2025-02-13T00:00:00"/>
        <d v="2024-08-28T00:00:00"/>
        <d v="2024-05-29T00:00:00"/>
        <d v="2024-12-29T00:00:00"/>
        <d v="2025-06-09T00:00:00"/>
        <d v="2025-10-28T00:00:00"/>
        <d v="2025-02-14T00:00:00"/>
        <d v="2024-11-18T00:00:00"/>
        <d v="2024-03-27T00:00:00"/>
        <d v="2025-02-21T00:00:00"/>
        <d v="2024-06-24T00:00:00"/>
        <d v="2024-06-08T00:00:00"/>
        <d v="2025-01-30T00:00:00"/>
        <d v="2025-04-12T00:00:00"/>
        <d v="2024-10-04T00:00:00"/>
        <d v="2024-06-26T00:00:00"/>
        <d v="2024-03-22T00:00:00"/>
        <d v="2025-05-23T00:00:00"/>
        <d v="2025-10-16T00:00:00"/>
        <d v="2025-03-26T00:00:00"/>
        <d v="2025-08-14T00:00:00"/>
        <d v="2025-06-08T00:00:00"/>
        <d v="2024-12-11T00:00:00"/>
        <d v="2025-10-25T00:00:00"/>
        <d v="2024-12-26T00:00:00"/>
        <d v="2025-02-18T00:00:00"/>
        <d v="2025-11-22T00:00:00"/>
        <d v="2025-09-08T00:00:00"/>
        <d v="2024-12-16T00:00:00"/>
        <d v="2024-07-18T00:00:00"/>
        <d v="2024-05-26T00:00:00"/>
        <d v="2025-01-08T00:00:00"/>
        <d v="2025-11-15T00:00:00"/>
        <d v="2024-09-14T00:00:00"/>
        <d v="2025-09-29T00:00:00"/>
        <d v="2024-07-10T00:00:00"/>
        <d v="2024-10-13T00:00:00"/>
        <d v="2025-09-12T00:00:00"/>
        <d v="2025-04-10T00:00:00"/>
        <d v="2025-01-13T00:00:00"/>
        <d v="2024-11-23T00:00:00"/>
        <d v="2024-03-29T00:00:00"/>
        <d v="2025-05-19T00:00:00"/>
        <d v="2024-02-16T00:00:00"/>
        <d v="2024-05-25T00:00:00"/>
        <d v="2024-11-14T00:00:00"/>
        <d v="2025-04-30T00:00:00"/>
        <d v="2025-04-28T00:00:00"/>
        <d v="2024-04-26T00:00:00"/>
        <d v="2025-10-21T00:00:00"/>
        <d v="2025-02-02T00:00:00"/>
        <d v="2025-11-29T00:00:00"/>
        <d v="2025-03-19T00:00:00"/>
        <d v="2024-06-04T00:00:00"/>
        <d v="2025-04-06T00:00:00"/>
        <d v="2025-12-29T00:00:00"/>
        <d v="2024-11-02T00:00:00"/>
        <d v="2024-05-02T00:00:00"/>
        <d v="2025-11-28T00:00:00"/>
        <d v="2025-11-17T00:00:00"/>
        <d v="2025-04-08T00:00:00"/>
        <d v="2025-11-30T00:00:00"/>
        <d v="2025-09-05T00:00:00"/>
        <d v="2025-07-19T00:00:00"/>
        <d v="2024-07-17T00:00:00"/>
        <d v="2024-02-07T00:00:00"/>
        <d v="2024-05-01T00:00:00"/>
        <d v="2024-08-27T00:00:00"/>
        <d v="2025-01-10T00:00:00"/>
        <d v="2025-03-11T00:00:00"/>
        <d v="2025-08-07T00:00:00"/>
        <d v="2025-01-31T00:00:00"/>
        <d v="2025-05-09T00:00:00"/>
        <d v="2024-07-26T00:00:00"/>
        <d v="2024-08-29T00:00:00"/>
        <d v="2025-09-01T00:00:00"/>
        <d v="2024-10-26T00:00:00"/>
        <d v="2024-11-01T00:00:00"/>
        <d v="2025-04-23T00:00:00"/>
        <d v="2024-12-25T00:00:00"/>
        <d v="2024-11-19T00:00:00"/>
        <d v="2024-04-19T00:00:00"/>
        <d v="2024-03-01T00:00:00"/>
        <d v="2025-04-13T00:00:00"/>
        <d v="2025-01-15T00:00:00"/>
        <d v="2025-07-28T00:00:00"/>
        <d v="2024-04-11T00:00:00"/>
        <d v="2025-05-08T00:00:00"/>
        <d v="2024-04-23T00:00:00"/>
        <d v="2024-10-16T00:00:00"/>
        <d v="2024-12-06T00:00:00"/>
        <d v="2024-01-07T00:00:00"/>
        <d v="2024-05-11T00:00:00"/>
        <d v="2025-09-15T00:00:00"/>
        <d v="2024-03-28T00:00:00"/>
        <d v="2024-06-20T00:00:00"/>
        <d v="2025-06-15T00:00:00"/>
        <d v="2024-07-13T00:00:00"/>
        <d v="2024-09-01T00:00:00"/>
        <d v="2024-11-10T00:00:00"/>
        <d v="2024-04-18T00:00:00"/>
        <d v="2024-08-14T00:00:00"/>
        <d v="2024-04-12T00:00:00"/>
        <d v="2025-10-09T00:00:00"/>
        <d v="2024-03-09T00:00:00"/>
        <d v="2024-12-04T00:00:00"/>
        <d v="2025-05-26T00:00:00"/>
        <d v="2024-10-31T00:00:00"/>
        <d v="2024-10-27T00:00:00"/>
        <d v="2024-05-31T00:00:00"/>
        <d v="2024-06-21T00:00:00"/>
        <d v="2025-07-10T00:00:00"/>
        <d v="2025-04-04T00:00:00"/>
        <d v="2024-06-27T00:00:00"/>
        <d v="2025-04-11T00:00:00"/>
        <d v="2024-01-05T00:00:00"/>
        <d v="2025-08-01T00:00:00"/>
        <d v="2025-07-12T00:00:00"/>
        <d v="2024-04-04T00:00:00"/>
        <d v="2025-09-07T00:00:00"/>
        <d v="2025-05-03T00:00:00"/>
        <d v="2025-07-20T00:00:00"/>
        <d v="2025-05-24T00:00:00"/>
        <d v="2024-04-21T00:00:00"/>
        <d v="2024-09-11T00:00:00"/>
        <d v="2024-08-01T00:00:00"/>
        <d v="2024-07-05T00:00:00"/>
        <d v="2025-10-06T00:00:00"/>
        <d v="2024-09-12T00:00:00"/>
        <d v="2024-08-17T00:00:00"/>
        <d v="2026-01-01T00:00:00"/>
        <d v="2024-07-03T00:00:00"/>
        <d v="2024-05-08T00:00:00"/>
        <d v="2024-02-04T00:00:00"/>
        <d v="2025-09-22T00:00:00"/>
        <d v="2025-08-17T00:00:00"/>
        <d v="2025-02-11T00:00:00"/>
        <d v="2024-08-30T00:00:00"/>
        <d v="2025-06-28T00:00:00"/>
        <d v="2025-03-03T00:00:00"/>
        <d v="2025-10-17T00:00:00"/>
        <d v="2024-02-19T00:00:00"/>
        <d v="2025-11-07T00:00:00"/>
        <d v="2025-05-12T00:00:00"/>
        <d v="2024-01-12T00:00:00"/>
        <d v="2025-02-03T00:00:00"/>
        <d v="2025-06-22T00:00:00"/>
        <d v="2025-08-28T00:00:00"/>
        <d v="2024-09-16T00:00:00"/>
        <d v="2024-12-18T00:00:00"/>
        <d v="2025-03-25T00:00:00"/>
        <d v="2025-11-24T00:00:00"/>
        <d v="2024-03-12T00:00:00"/>
        <d v="2024-12-19T00:00:00"/>
        <d v="2024-10-30T00:00:00"/>
        <d v="2025-05-30T00:00:00"/>
        <d v="2024-09-18T00:00:00"/>
        <d v="2025-12-12T00:00:00"/>
        <d v="2024-12-09T00:00:00"/>
        <d v="2025-06-01T00:00:00"/>
        <d v="2025-02-24T00:00:00"/>
        <d v="2024-07-24T00:00:00"/>
        <d v="2024-03-11T00:00:00"/>
        <d v="2024-12-02T00:00:00"/>
        <d v="2026-01-03T00:00:00"/>
        <d v="2025-01-07T00:00:00"/>
        <d v="2025-04-07T00:00:00"/>
        <d v="2025-02-22T00:00:00"/>
        <d v="2025-06-03T00:00:00"/>
        <d v="2024-08-08T00:00:00"/>
        <d v="2025-03-16T00:00:00"/>
        <d v="2025-07-02T00:00:00"/>
        <d v="2024-09-09T00:00:00"/>
        <d v="2024-08-09T00:00:00"/>
        <d v="2025-01-11T00:00:00"/>
        <d v="2025-11-27T00:00:00"/>
        <d v="2024-08-23T00:00:00"/>
        <d v="2024-06-28T00:00:00"/>
        <d v="2025-12-09T00:00:00"/>
        <d v="2025-12-27T00:00:00"/>
        <d v="2024-10-19T00:00:00"/>
        <d v="2024-05-10T00:00:00"/>
        <d v="2024-09-19T00:00:00"/>
        <d v="2025-07-27T00:00:00"/>
        <d v="2024-08-13T00:00:00"/>
        <d v="2024-06-14T00:00:00"/>
        <d v="2024-11-13T00:00:00"/>
        <d v="2025-05-07T00:00:00"/>
        <d v="2025-02-15T00:00:00"/>
        <d v="2025-03-01T00:00:00"/>
        <d v="2024-10-17T00:00:00"/>
        <d v="2024-06-29T00:00:00"/>
        <d v="2024-06-25T00:00:00"/>
        <d v="2025-12-10T00:00:00"/>
        <d v="2024-12-27T00:00:00"/>
        <d v="2025-07-16T00:00:00"/>
        <d v="2025-09-19T00:00:00"/>
        <d v="2024-07-07T00:00:00"/>
        <d v="2025-04-26T00:00:00"/>
        <d v="2024-01-14T00:00:00"/>
        <d v="2025-11-26T00:00:00"/>
        <d v="2025-03-02T00:00:00"/>
        <d v="2025-01-28T00:00:00"/>
        <d v="2024-04-27T00:00:00"/>
        <d v="2025-06-10T00:00:00"/>
        <d v="2025-07-29T00:00:00"/>
        <d v="2025-09-25T00:00:00"/>
        <d v="2024-03-18T00:00:00"/>
        <d v="2025-12-18T00:00:00"/>
        <d v="2025-02-25T00:00:00"/>
        <d v="2024-12-12T00:00:00"/>
        <d v="2025-09-23T00:00:00"/>
        <d v="2025-10-07T00:00:00"/>
        <d v="2024-03-05T00:00:00"/>
        <d v="2025-07-25T00:00:00"/>
        <d v="2024-11-29T00:00:00"/>
        <d v="2025-08-04T00:00:00"/>
        <d v="2025-02-28T00:00:00"/>
        <d v="2024-12-28T00:00:00"/>
        <d v="2025-12-02T00:00:00"/>
        <d v="2025-10-01T00:00:00"/>
        <d v="2024-02-24T00:00:00"/>
        <d v="2024-07-16T00:00:00"/>
        <d v="2024-04-03T00:00:00"/>
        <d v="2024-06-03T00:00:00"/>
        <d v="2024-08-06T00:00:00"/>
        <d v="2025-05-20T00:00:00"/>
        <d v="2024-09-28T00:00:00"/>
        <d v="2025-04-19T00:00:00"/>
        <d v="2025-09-10T00:00:00"/>
        <d v="2025-08-16T00:00:00"/>
        <d v="2024-04-16T00:00:00"/>
        <d v="2026-01-02T00:00:00"/>
        <d v="2025-09-18T00:00:00"/>
        <d v="2025-03-31T00:00:00"/>
        <d v="2024-11-26T00:00:00"/>
        <d v="2025-08-22T00:00:00"/>
        <d v="2024-09-17T00:00:00"/>
        <d v="2025-11-09T00:00:00"/>
        <d v="2024-08-19T00:00:00"/>
        <d v="2025-08-20T00:00:00"/>
        <d v="2024-10-01T00:00:00"/>
        <d v="2024-06-10T00:00:00"/>
        <d v="2025-07-13T00:00:00"/>
        <d v="2024-02-22T00:00:00"/>
        <d v="2025-03-28T00:00:00"/>
        <d v="2025-06-14T00:00:00"/>
        <d v="2024-05-18T00:00:00"/>
        <d v="2025-06-30T00:00:00"/>
        <d v="2024-07-25T00:00:00"/>
        <d v="2025-11-21T00:00:00"/>
        <d v="2024-04-29T00:00:00"/>
        <d v="2025-04-25T00:00:00"/>
        <d v="2024-05-19T00:00:00"/>
        <d v="2025-04-02T00:00:00"/>
        <d v="2025-04-21T00:00:00"/>
        <d v="2025-12-11T00:00:00"/>
        <d v="2025-10-11T00:00:00"/>
        <d v="2025-01-19T00:00:00"/>
        <d v="2025-05-04T00:00:00"/>
        <d v="2025-01-16T00:00:00"/>
        <d v="2025-09-14T00:00:00"/>
        <d v="2024-10-18T00:00:00"/>
        <d v="2025-10-13T00:00:00"/>
        <d v="2025-11-25T00:00:00"/>
        <d v="2025-07-17T00:00:00"/>
        <d v="2024-05-28T00:00:00"/>
        <d v="2024-08-03T00:00:00"/>
        <d v="2025-05-25T00:00:00"/>
        <d v="2025-12-03T00:00:00"/>
        <d v="2025-02-20T00:00:00"/>
        <d v="2024-06-12T00:00:00"/>
        <d v="2024-10-08T00:00:00"/>
        <d v="2025-12-07T00:00:00"/>
        <d v="2025-05-16T00:00:00"/>
        <d v="2024-02-06T00:00:00"/>
        <d v="2024-11-09T00:00:00"/>
        <d v="2025-02-08T00:00:00"/>
        <d v="2025-11-19T00:00:00"/>
        <d v="2025-07-18T00:00:00"/>
        <d v="2025-12-13T00:00:00"/>
        <d v="2025-03-18T00:00:00"/>
        <d v="2025-01-03T00:00:00"/>
        <d v="2025-04-27T00:00:00"/>
        <d v="2024-11-04T00:00:00"/>
        <d v="2024-10-28T00:00:00"/>
        <d v="2024-08-07T00:00:00"/>
        <d v="2024-09-02T00:00:00"/>
        <d v="2025-01-14T00:00:00"/>
        <d v="2025-12-25T00:00:00"/>
        <d v="2024-01-03T00:00:00"/>
        <d v="2025-10-14T00:00:00"/>
        <d v="2025-04-18T00:00:00"/>
        <d v="2025-12-22T00:00:00"/>
        <d v="2024-01-22T00:00:00"/>
        <d v="2024-12-13T00:00:00"/>
        <d v="2024-01-10T00:00:00"/>
        <d v="2024-01-02T00:00:00"/>
        <d v="2025-07-23T00:00:00"/>
        <d v="2024-10-20T00:00:00"/>
        <d v="2024-02-20T00:00:00"/>
        <d v="2024-01-13T00:00:00"/>
        <d v="2024-03-16T00:00:00"/>
        <d v="2024-04-24T00:00:00"/>
        <d v="2025-07-09T00:00:00"/>
        <d v="2025-11-20T00:00:00"/>
        <d v="2025-11-18T00:00:00"/>
        <d v="2024-03-26T00:00:00"/>
        <d v="2025-07-06T00:00:00"/>
        <d v="2024-09-10T00:00:00"/>
        <d v="2025-04-03T00:00:00"/>
        <d v="2024-01-11T00:00:00"/>
        <d v="2024-10-02T00:00:00"/>
        <d v="2024-08-25T00:00:00"/>
        <d v="2024-04-01T00:00:00"/>
        <d v="2024-02-14T00:00:00"/>
        <d v="2025-11-06T00:00:00"/>
        <d v="2024-01-29T00:00:00"/>
        <d v="2025-10-02T00:00:00"/>
        <d v="2025-12-16T00:00:00"/>
        <d v="2024-02-26T00:00:00"/>
        <d v="2024-06-17T00:00:00"/>
        <d v="2025-08-21T00:00:00"/>
        <d v="2024-05-14T00:00:00"/>
        <d v="2025-01-21T00:00:00"/>
        <d v="2024-01-16T00:00:00"/>
        <d v="2024-09-06T00:00:00"/>
        <d v="2025-06-25T00:00:00"/>
        <d v="2024-04-07T00:00:00"/>
        <d v="2025-01-25T00:00:00"/>
        <d v="2025-11-10T00:00:00"/>
        <d v="2024-04-17T00:00:00"/>
        <d v="2025-12-26T00:00:00"/>
        <d v="2024-07-09T00:00:00"/>
        <d v="2024-05-30T00:00:00"/>
        <d v="2024-05-22T00:00:00"/>
        <d v="2024-01-19T00:00:00"/>
        <d v="2024-03-04T00:00:00"/>
        <d v="2024-05-27T00:00:00"/>
        <d v="2025-05-02T00:00:00"/>
        <d v="2025-01-27T00:00:00"/>
        <d v="2025-07-15T00:00:00"/>
        <d v="2024-08-18T00:00:00"/>
        <d v="2024-03-13T00:00:00"/>
        <d v="2025-12-06T00:00:00"/>
        <d v="2024-11-05T00:00:00"/>
        <d v="2025-04-29T00:00:00"/>
        <d v="2025-11-23T00:00:00"/>
        <d v="2025-10-04T00:00:00"/>
        <d v="2025-01-02T00:00:00"/>
        <d v="2024-02-18T00:00:00"/>
        <d v="2025-05-22T00:00:00"/>
        <d v="2025-10-27T00:00:00"/>
        <d v="2025-04-24T00:00:00"/>
        <d v="2025-08-25T00:00:00"/>
        <d v="2025-02-04T00:00:00"/>
        <d v="2025-01-26T00:00:00"/>
        <d v="2025-09-13T00:00:00"/>
        <d v="2024-06-09T00:00:00"/>
        <d v="2025-11-12T00:00:00"/>
        <d v="2025-10-18T00:00:00"/>
        <d v="2024-07-22T00:00:00"/>
        <d v="2024-03-14T00:00:00"/>
        <d v="2024-07-01T00:00:00"/>
        <d v="2025-05-14T00:00:00"/>
        <d v="2024-06-30T00:00:00"/>
        <d v="2025-05-17T00:00:00"/>
        <d v="2025-07-04T00:00:00"/>
        <d v="2025-07-01T00:00:00"/>
        <d v="2024-02-09T00:00:00"/>
        <d v="2024-06-05T00:00:00"/>
        <d v="2025-07-30T00:00:00"/>
        <d v="2024-05-09T00:00:00"/>
        <d v="2024-01-30T00:00:00"/>
        <d v="2025-03-13T00:00:00"/>
        <d v="2024-01-21T00:00:00"/>
        <d v="2024-09-20T00:00:00"/>
        <d v="2025-06-26T00:00:00"/>
        <d v="2024-08-31T00:00:00"/>
        <d v="2025-07-14T00:00:00"/>
        <d v="2025-07-05T00:00:00"/>
        <d v="2025-09-26T00:00:00"/>
        <d v="2024-07-08T00:00:00"/>
        <d v="2025-08-08T00:00:00"/>
        <d v="2024-11-21T00:00:00"/>
        <d v="2024-01-26T00:00:00"/>
        <d v="2024-09-27T00:00:00"/>
        <d v="2025-01-01T00:00:00"/>
        <d v="2024-04-13T00:00:00"/>
        <d v="2024-11-27T00:00:00"/>
        <d v="2024-03-20T00:00:00"/>
        <d v="2025-09-21T00:00:00"/>
        <d v="2024-02-17T00:00:00"/>
        <d v="2024-06-16T00:00:00"/>
        <d v="2024-12-21T00:00:00"/>
        <d v="2025-05-11T00:00:00"/>
        <d v="2024-12-03T00:00:00"/>
        <d v="2025-11-04T00:00:00"/>
        <d v="2024-07-30T00:00:00"/>
        <d v="2025-06-05T00:00:00"/>
        <d v="2024-11-08T00:00:00"/>
        <d v="2025-02-27T00:00:00"/>
        <d v="2025-09-20T00:00:00"/>
        <d v="2025-07-22T00:00:00"/>
        <d v="2024-11-15T00:00:00"/>
        <d v="2025-11-02T00:00:00"/>
        <d v="2025-04-22T00:00:00"/>
        <d v="2025-08-27T00:00:00"/>
        <d v="2024-09-03T00:00:00"/>
        <d v="2025-03-06T00:00:00"/>
        <d v="2024-11-20T00:00:00"/>
        <d v="2024-08-10T00:00:00"/>
        <d v="2024-05-24T00:00:00"/>
        <d v="2025-10-26T00:00:00"/>
        <d v="2025-10-03T00:00:00"/>
        <d v="2024-12-17T00:00:00"/>
        <d v="2025-07-31T00:00:00"/>
        <d v="2024-12-30T00:00:00"/>
        <d v="2025-07-21T00:00:00"/>
        <d v="2025-06-07T00:00:00"/>
        <d v="2025-09-02T00:00:00"/>
        <d v="2025-10-24T00:00:00"/>
        <d v="2025-01-05T00:00:00"/>
        <d v="2025-12-14T00:00:00"/>
        <d v="2025-12-05T00:00:00"/>
        <d v="2025-05-10T00:00:00"/>
        <d v="2025-01-22T00:00:00"/>
        <d v="2024-12-22T00:00:00"/>
        <d v="2025-09-17T00:00:00"/>
        <d v="2024-03-17T00:00:00"/>
        <d v="2024-12-23T00:00:00"/>
        <d v="2024-12-10T00:00:00"/>
        <d v="2025-03-27T00:00:00"/>
        <d v="2025-08-30T00:00:00"/>
        <d v="2025-01-09T00:00:00"/>
        <d v="2024-07-04T00:00:00"/>
        <d v="2025-08-31T00:00:00"/>
        <d v="2025-08-29T00:00:00"/>
        <d v="2025-01-29T00:00:00"/>
        <d v="2025-03-29T00:00:00"/>
        <d v="2025-11-13T00:00:00"/>
        <d v="2024-04-30T00:00:00"/>
        <d v="2024-06-13T00:00:00"/>
        <d v="2025-01-23T00:00:00"/>
        <d v="2024-08-20T00:00:00"/>
        <d v="2024-04-28T00:00:00"/>
        <d v="2024-01-15T00:00:00"/>
        <d v="2025-01-12T00:00:00"/>
        <d v="2025-03-21T00:00:00"/>
        <d v="2024-09-26T00:00:00"/>
        <d v="2024-12-31T00:00:00"/>
        <d v="2024-09-25T00:00:00"/>
        <d v="2025-12-08T00:00:00"/>
        <d v="2024-07-12T00:00:00"/>
        <d v="2025-04-01T00:00:00"/>
        <d v="2024-09-04T00:00:00"/>
        <d v="2024-03-21T00:00:00"/>
        <d v="2025-09-16T00:00:00"/>
        <d v="2024-09-29T00:00:00"/>
        <d v="2024-01-28T00:00:00"/>
        <d v="2024-01-09T00:00:00"/>
        <d v="2025-06-27T00:00:00"/>
        <d v="2025-06-04T00:00:00"/>
        <d v="2025-02-16T00:00:00"/>
        <d v="2025-06-24T00:00:00"/>
        <d v="2025-12-23T00:00:00"/>
        <d v="2025-04-14T00:00:00"/>
        <d v="2024-09-05T00:00:00"/>
        <d v="2024-02-28T00:00:00"/>
        <d v="2025-08-23T00:00:00"/>
        <d v="2024-02-23T00:00:00"/>
        <d v="2025-06-02T00:00:00"/>
        <d v="2024-02-15T00:00:00"/>
        <d v="2025-10-12T00:00:00"/>
        <d v="2025-11-01T00:00:00"/>
        <d v="2025-09-24T00:00:00"/>
        <d v="2024-11-07T00:00:00"/>
        <d v="2024-08-21T00:00:00"/>
        <d v="2024-09-08T00:00:00"/>
        <d v="2024-10-29T00:00:00"/>
        <d v="2025-10-20T00:00:00"/>
        <d v="2024-04-06T00:00:00"/>
        <d v="2024-11-22T00:00:00"/>
        <d v="2025-07-26T00:00:00"/>
        <d v="2024-06-11T00:00:00"/>
        <d v="2024-10-11T00:00:00"/>
        <d v="2025-01-18T00:00:00"/>
        <d v="2025-12-15T00:00:00"/>
        <d v="2024-02-29T00:00:00"/>
        <d v="2024-09-07T00:00:00"/>
        <d v="2025-03-20T00:00:00"/>
        <d v="2024-03-15T00:00:00"/>
        <d v="2024-09-15T00:00:00"/>
        <d v="2024-10-12T00:00:00"/>
        <d v="2025-03-07T00:00:00"/>
        <d v="2024-12-14T00:00:00"/>
        <d v="2024-05-16T00:00:00"/>
        <d v="2024-05-12T00:00:00"/>
        <d v="2025-05-21T00:00:00"/>
        <d v="2024-05-05T00:00:00"/>
        <d v="2025-01-06T00:00:00"/>
        <d v="2024-07-27T00:00:00"/>
        <d v="2024-07-21T00:00:00"/>
        <d v="2025-06-06T00:00:00"/>
        <d v="2024-02-10T00:00:00"/>
        <d v="2024-06-23T00:00:00"/>
        <d v="2025-12-01T00:00:00"/>
        <d v="2025-12-31T00:00:00"/>
        <d v="2025-03-04T00:00:00"/>
        <d v="2025-03-30T00:00:00"/>
        <d v="2025-08-19T00:00:00"/>
        <d v="2024-01-06T00:00:00"/>
        <d v="2024-12-07T00:00:00"/>
        <d v="2024-06-19T00:00:00"/>
        <d v="2024-10-25T00:00:00"/>
        <d v="2025-03-22T00:00:00"/>
        <d v="2025-09-04T00:00:00"/>
        <d v="2024-05-03T00:00:00"/>
        <d v="2024-04-14T00:00:00"/>
        <d v="2024-08-16T00:00:00"/>
        <d v="2024-11-03T00:00:00"/>
        <d v="2025-11-11T00:00:00"/>
        <d v="2024-11-06T00:00:00"/>
        <d v="2024-07-20T00:00:00"/>
        <d v="2025-02-17T00:00:00"/>
        <d v="2025-08-09T00:00:00"/>
        <d v="2024-11-30T00:00:00"/>
        <d v="2025-01-04T00:00:00"/>
        <d v="2025-09-03T00:00:00"/>
        <d v="2025-12-20T00:00:00"/>
        <d v="2025-06-17T00:00:00"/>
        <d v="2025-08-26T00:00:00"/>
        <d v="2025-12-04T00:00:00"/>
        <d v="2025-07-07T00:00:00"/>
        <d v="2024-10-06T00:00:00"/>
        <d v="2025-06-13T00:00:00"/>
        <d v="2024-03-02T00:00:00"/>
      </sharedItems>
      <fieldGroup par="19"/>
    </cacheField>
    <cacheField name="Length of Staye" numFmtId="0">
      <sharedItems containsSemiMixedTypes="0" containsString="0" containsNumber="1" containsInteger="1" minValue="1" maxValue="14"/>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4">
      <sharedItems containsSemiMixedTypes="0" containsString="0" containsNumber="1" minValue="534.38" maxValue="38501.9"/>
    </cacheField>
    <cacheField name="Insurance Coverage" numFmtId="9">
      <sharedItems containsSemiMixedTypes="0" containsString="0" containsNumber="1" minValue="0" maxValue="1"/>
    </cacheField>
    <cacheField name="Payment Status" numFmtId="0">
      <sharedItems count="3">
        <s v="Paid"/>
        <s v="Pending"/>
        <s v="Partially Paid"/>
      </sharedItems>
    </cacheField>
    <cacheField name="Amount Paid" numFmtId="164">
      <sharedItems containsSemiMixedTypes="0" containsString="0" containsNumber="1" minValue="0" maxValue="38501.9"/>
    </cacheField>
    <cacheField name="Age Coverage" numFmtId="0">
      <sharedItems count="5">
        <s v="51-65"/>
        <s v="Above 65"/>
        <s v="18-35"/>
        <s v="36-50"/>
        <s v="Under 18"/>
      </sharedItems>
    </cacheField>
    <cacheField name="Months (Admission Date)" numFmtId="0" databaseField="0">
      <fieldGroup base="4">
        <rangePr groupBy="months" startDate="2024-01-01T00:00:00" endDate="2025-12-29T00:00:00"/>
        <groupItems count="14">
          <s v="&lt;2024-01-01"/>
          <s v="Jan"/>
          <s v="Feb"/>
          <s v="Mar"/>
          <s v="Apr"/>
          <s v="May"/>
          <s v="Jun"/>
          <s v="Jul"/>
          <s v="Aug"/>
          <s v="Sep"/>
          <s v="Oct"/>
          <s v="Nov"/>
          <s v="Dec"/>
          <s v="&gt;2025-12-29"/>
        </groupItems>
      </fieldGroup>
    </cacheField>
    <cacheField name="Quarters (Admission Date)" numFmtId="0" databaseField="0">
      <fieldGroup base="4">
        <rangePr groupBy="quarters" startDate="2024-01-01T00:00:00" endDate="2025-12-29T00:00:00"/>
        <groupItems count="6">
          <s v="&lt;2024-01-01"/>
          <s v="Qtr1"/>
          <s v="Qtr2"/>
          <s v="Qtr3"/>
          <s v="Qtr4"/>
          <s v="&gt;2025-12-29"/>
        </groupItems>
      </fieldGroup>
    </cacheField>
    <cacheField name="Years (Admission Date)" numFmtId="0" databaseField="0">
      <fieldGroup base="4">
        <rangePr groupBy="years" startDate="2024-01-01T00:00:00" endDate="2025-12-29T00:00:00"/>
        <groupItems count="4">
          <s v="&lt;2024-01-01"/>
          <s v="2024"/>
          <s v="2025"/>
          <s v="&gt;2025-12-29"/>
        </groupItems>
      </fieldGroup>
    </cacheField>
    <cacheField name="Months (Discharge Date)" numFmtId="0" databaseField="0">
      <fieldGroup base="5">
        <rangePr groupBy="months" startDate="2024-01-02T00:00:00" endDate="2026-01-04T00:00:00"/>
        <groupItems count="14">
          <s v="&lt;2024-01-02"/>
          <s v="Jan"/>
          <s v="Feb"/>
          <s v="Mar"/>
          <s v="Apr"/>
          <s v="May"/>
          <s v="Jun"/>
          <s v="Jul"/>
          <s v="Aug"/>
          <s v="Sep"/>
          <s v="Oct"/>
          <s v="Nov"/>
          <s v="Dec"/>
          <s v="&gt;2026-01-04"/>
        </groupItems>
      </fieldGroup>
    </cacheField>
    <cacheField name="Quarters (Discharge Date)" numFmtId="0" databaseField="0">
      <fieldGroup base="5">
        <rangePr groupBy="quarters" startDate="2024-01-02T00:00:00" endDate="2026-01-04T00:00:00"/>
        <groupItems count="6">
          <s v="&lt;2024-01-02"/>
          <s v="Qtr1"/>
          <s v="Qtr2"/>
          <s v="Qtr3"/>
          <s v="Qtr4"/>
          <s v="&gt;2026-01-04"/>
        </groupItems>
      </fieldGroup>
    </cacheField>
    <cacheField name="Years (Discharge Date)" numFmtId="0" databaseField="0">
      <fieldGroup base="5">
        <rangePr groupBy="years" startDate="2024-01-02T00:00:00" endDate="2026-01-04T00:00:00"/>
        <groupItems count="5">
          <s v="&lt;2024-01-02"/>
          <s v="2024"/>
          <s v="2025"/>
          <s v="2026"/>
          <s v="&gt;2026-01-04"/>
        </groupItems>
      </fieldGroup>
    </cacheField>
  </cacheFields>
  <extLst>
    <ext xmlns:x14="http://schemas.microsoft.com/office/spreadsheetml/2009/9/main" uri="{725AE2AE-9491-48be-B2B4-4EB974FC3084}">
      <x14:pivotCacheDefinition pivotCacheId="123087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omas Martin"/>
    <n v="57"/>
    <x v="0"/>
    <x v="0"/>
    <x v="0"/>
    <n v="8"/>
    <x v="0"/>
    <x v="0"/>
    <n v="15359.41"/>
    <n v="0.6"/>
    <x v="0"/>
    <n v="15359.41"/>
    <x v="0"/>
  </r>
  <r>
    <x v="1"/>
    <s v="Betty Thompson"/>
    <n v="62"/>
    <x v="1"/>
    <x v="1"/>
    <x v="1"/>
    <n v="10"/>
    <x v="0"/>
    <x v="1"/>
    <n v="21896.6"/>
    <n v="0.8"/>
    <x v="1"/>
    <n v="0"/>
    <x v="0"/>
  </r>
  <r>
    <x v="2"/>
    <s v="Lisa Rodriguez"/>
    <n v="82"/>
    <x v="1"/>
    <x v="2"/>
    <x v="2"/>
    <n v="3"/>
    <x v="1"/>
    <x v="2"/>
    <n v="6404.86"/>
    <n v="0"/>
    <x v="2"/>
    <n v="0"/>
    <x v="1"/>
  </r>
  <r>
    <x v="3"/>
    <s v="Donna Jones"/>
    <n v="29"/>
    <x v="1"/>
    <x v="3"/>
    <x v="3"/>
    <n v="1"/>
    <x v="1"/>
    <x v="3"/>
    <n v="1001.68"/>
    <n v="0.9"/>
    <x v="1"/>
    <n v="0"/>
    <x v="2"/>
  </r>
  <r>
    <x v="4"/>
    <s v="Michael Walker"/>
    <n v="65"/>
    <x v="0"/>
    <x v="4"/>
    <x v="4"/>
    <n v="6"/>
    <x v="2"/>
    <x v="4"/>
    <n v="4022.42"/>
    <n v="0.8"/>
    <x v="1"/>
    <n v="0"/>
    <x v="0"/>
  </r>
  <r>
    <x v="5"/>
    <s v="Kenneth Lewis"/>
    <n v="53"/>
    <x v="0"/>
    <x v="5"/>
    <x v="5"/>
    <n v="7"/>
    <x v="2"/>
    <x v="5"/>
    <n v="6621.96"/>
    <n v="0.5"/>
    <x v="2"/>
    <n v="0"/>
    <x v="0"/>
  </r>
  <r>
    <x v="6"/>
    <s v="Linda Smith"/>
    <n v="46"/>
    <x v="1"/>
    <x v="6"/>
    <x v="6"/>
    <n v="4"/>
    <x v="0"/>
    <x v="6"/>
    <n v="7676.36"/>
    <n v="0.7"/>
    <x v="2"/>
    <n v="0"/>
    <x v="3"/>
  </r>
  <r>
    <x v="7"/>
    <s v="Susan Garcia"/>
    <n v="21"/>
    <x v="1"/>
    <x v="7"/>
    <x v="7"/>
    <n v="3"/>
    <x v="1"/>
    <x v="7"/>
    <n v="7381.69"/>
    <n v="0.8"/>
    <x v="1"/>
    <n v="0"/>
    <x v="2"/>
  </r>
  <r>
    <x v="8"/>
    <s v="James Jones"/>
    <n v="62"/>
    <x v="0"/>
    <x v="8"/>
    <x v="8"/>
    <n v="6"/>
    <x v="2"/>
    <x v="8"/>
    <n v="5206.3999999999996"/>
    <n v="0.8"/>
    <x v="1"/>
    <n v="0"/>
    <x v="0"/>
  </r>
  <r>
    <x v="9"/>
    <s v="Christopher Johnson"/>
    <n v="59"/>
    <x v="0"/>
    <x v="9"/>
    <x v="9"/>
    <n v="1"/>
    <x v="1"/>
    <x v="7"/>
    <n v="2498.98"/>
    <n v="0.5"/>
    <x v="1"/>
    <n v="0"/>
    <x v="0"/>
  </r>
  <r>
    <x v="10"/>
    <s v="Daniel Thomas"/>
    <n v="7"/>
    <x v="0"/>
    <x v="10"/>
    <x v="10"/>
    <n v="2"/>
    <x v="3"/>
    <x v="9"/>
    <n v="2096.73"/>
    <n v="0.7"/>
    <x v="0"/>
    <n v="2096.73"/>
    <x v="4"/>
  </r>
  <r>
    <x v="11"/>
    <s v="Sandra Smith"/>
    <n v="85"/>
    <x v="1"/>
    <x v="11"/>
    <x v="11"/>
    <n v="5"/>
    <x v="2"/>
    <x v="10"/>
    <n v="4619.6099999999997"/>
    <n v="0.7"/>
    <x v="1"/>
    <n v="0"/>
    <x v="1"/>
  </r>
  <r>
    <x v="12"/>
    <s v="Michael Smith"/>
    <n v="40"/>
    <x v="0"/>
    <x v="12"/>
    <x v="12"/>
    <n v="2"/>
    <x v="1"/>
    <x v="2"/>
    <n v="3367.87"/>
    <n v="0.9"/>
    <x v="0"/>
    <n v="3367.87"/>
    <x v="3"/>
  </r>
  <r>
    <x v="13"/>
    <s v="Thomas Taylor"/>
    <n v="24"/>
    <x v="0"/>
    <x v="13"/>
    <x v="13"/>
    <n v="2"/>
    <x v="2"/>
    <x v="5"/>
    <n v="2287.25"/>
    <n v="0.6"/>
    <x v="0"/>
    <n v="2287.25"/>
    <x v="2"/>
  </r>
  <r>
    <x v="14"/>
    <s v="Jennifer Williams"/>
    <n v="67"/>
    <x v="1"/>
    <x v="14"/>
    <x v="14"/>
    <n v="9"/>
    <x v="4"/>
    <x v="11"/>
    <n v="12489.51"/>
    <n v="1"/>
    <x v="0"/>
    <n v="12489.51"/>
    <x v="1"/>
  </r>
  <r>
    <x v="15"/>
    <s v="Nancy Lee"/>
    <n v="70"/>
    <x v="1"/>
    <x v="15"/>
    <x v="15"/>
    <n v="6"/>
    <x v="2"/>
    <x v="5"/>
    <n v="4262.21"/>
    <n v="1"/>
    <x v="0"/>
    <n v="4262.21"/>
    <x v="1"/>
  </r>
  <r>
    <x v="16"/>
    <s v="Kevin Miller"/>
    <n v="38"/>
    <x v="0"/>
    <x v="16"/>
    <x v="16"/>
    <n v="4"/>
    <x v="2"/>
    <x v="5"/>
    <n v="5523.81"/>
    <n v="0.7"/>
    <x v="1"/>
    <n v="0"/>
    <x v="3"/>
  </r>
  <r>
    <x v="17"/>
    <s v="Elizabeth Moore"/>
    <n v="81"/>
    <x v="1"/>
    <x v="17"/>
    <x v="17"/>
    <n v="2"/>
    <x v="2"/>
    <x v="4"/>
    <n v="1097.76"/>
    <n v="0.8"/>
    <x v="0"/>
    <n v="1097.76"/>
    <x v="1"/>
  </r>
  <r>
    <x v="18"/>
    <s v="Carol Rodriguez"/>
    <n v="35"/>
    <x v="1"/>
    <x v="18"/>
    <x v="18"/>
    <n v="6"/>
    <x v="5"/>
    <x v="12"/>
    <n v="14272.73"/>
    <n v="0.8"/>
    <x v="1"/>
    <n v="0"/>
    <x v="2"/>
  </r>
  <r>
    <x v="19"/>
    <s v="Karen Hernandez"/>
    <n v="42"/>
    <x v="1"/>
    <x v="19"/>
    <x v="19"/>
    <n v="13"/>
    <x v="4"/>
    <x v="13"/>
    <n v="18429.310000000001"/>
    <n v="1"/>
    <x v="0"/>
    <n v="18429.310000000001"/>
    <x v="3"/>
  </r>
  <r>
    <x v="20"/>
    <s v="Michael Miller"/>
    <n v="36"/>
    <x v="0"/>
    <x v="20"/>
    <x v="20"/>
    <n v="6"/>
    <x v="4"/>
    <x v="14"/>
    <n v="11481.03"/>
    <n v="0.8"/>
    <x v="1"/>
    <n v="0"/>
    <x v="3"/>
  </r>
  <r>
    <x v="21"/>
    <s v="Karen Martinez"/>
    <n v="67"/>
    <x v="1"/>
    <x v="21"/>
    <x v="21"/>
    <n v="3"/>
    <x v="0"/>
    <x v="0"/>
    <n v="6324.27"/>
    <n v="0.8"/>
    <x v="0"/>
    <n v="6324.27"/>
    <x v="1"/>
  </r>
  <r>
    <x v="22"/>
    <s v="William Wilson"/>
    <n v="23"/>
    <x v="0"/>
    <x v="22"/>
    <x v="22"/>
    <n v="1"/>
    <x v="1"/>
    <x v="15"/>
    <n v="1888.07"/>
    <n v="0.8"/>
    <x v="2"/>
    <n v="0"/>
    <x v="2"/>
  </r>
  <r>
    <x v="23"/>
    <s v="Ashley Young"/>
    <n v="66"/>
    <x v="1"/>
    <x v="23"/>
    <x v="23"/>
    <n v="8"/>
    <x v="0"/>
    <x v="0"/>
    <n v="21654.18"/>
    <n v="0.7"/>
    <x v="0"/>
    <n v="21654.18"/>
    <x v="1"/>
  </r>
  <r>
    <x v="24"/>
    <s v="Betty Wilson"/>
    <n v="57"/>
    <x v="1"/>
    <x v="24"/>
    <x v="24"/>
    <n v="3"/>
    <x v="2"/>
    <x v="16"/>
    <n v="2641.14"/>
    <n v="1"/>
    <x v="0"/>
    <n v="2641.14"/>
    <x v="0"/>
  </r>
  <r>
    <x v="25"/>
    <s v="Steven Garcia"/>
    <n v="44"/>
    <x v="0"/>
    <x v="25"/>
    <x v="25"/>
    <n v="4"/>
    <x v="2"/>
    <x v="10"/>
    <n v="5522.03"/>
    <n v="0"/>
    <x v="2"/>
    <n v="0"/>
    <x v="3"/>
  </r>
  <r>
    <x v="26"/>
    <s v="Paul Taylor"/>
    <n v="58"/>
    <x v="0"/>
    <x v="26"/>
    <x v="26"/>
    <n v="5"/>
    <x v="0"/>
    <x v="6"/>
    <n v="8789.32"/>
    <n v="0.9"/>
    <x v="1"/>
    <n v="0"/>
    <x v="0"/>
  </r>
  <r>
    <x v="27"/>
    <s v="Daniel Lopez"/>
    <n v="62"/>
    <x v="0"/>
    <x v="27"/>
    <x v="27"/>
    <n v="5"/>
    <x v="5"/>
    <x v="17"/>
    <n v="7969.42"/>
    <n v="1"/>
    <x v="0"/>
    <n v="7969.42"/>
    <x v="0"/>
  </r>
  <r>
    <x v="28"/>
    <s v="Joseph Brown"/>
    <n v="52"/>
    <x v="0"/>
    <x v="28"/>
    <x v="28"/>
    <n v="6"/>
    <x v="4"/>
    <x v="18"/>
    <n v="7929.71"/>
    <n v="0.9"/>
    <x v="0"/>
    <n v="7929.71"/>
    <x v="0"/>
  </r>
  <r>
    <x v="29"/>
    <s v="Linda Wilson"/>
    <n v="35"/>
    <x v="1"/>
    <x v="29"/>
    <x v="29"/>
    <n v="3"/>
    <x v="1"/>
    <x v="3"/>
    <n v="4772.8900000000003"/>
    <n v="0.9"/>
    <x v="0"/>
    <n v="4772.8900000000003"/>
    <x v="2"/>
  </r>
  <r>
    <x v="30"/>
    <s v="Emily Moore"/>
    <n v="79"/>
    <x v="1"/>
    <x v="30"/>
    <x v="30"/>
    <n v="3"/>
    <x v="0"/>
    <x v="19"/>
    <n v="6826.49"/>
    <n v="0.8"/>
    <x v="0"/>
    <n v="6826.49"/>
    <x v="1"/>
  </r>
  <r>
    <x v="31"/>
    <s v="Sarah Wilson"/>
    <n v="69"/>
    <x v="1"/>
    <x v="31"/>
    <x v="31"/>
    <n v="2"/>
    <x v="2"/>
    <x v="4"/>
    <n v="2177.7800000000002"/>
    <n v="0.9"/>
    <x v="2"/>
    <n v="0"/>
    <x v="1"/>
  </r>
  <r>
    <x v="32"/>
    <s v="Nancy Clark"/>
    <n v="21"/>
    <x v="1"/>
    <x v="32"/>
    <x v="32"/>
    <n v="2"/>
    <x v="1"/>
    <x v="3"/>
    <n v="3527.3"/>
    <n v="0"/>
    <x v="2"/>
    <n v="0"/>
    <x v="2"/>
  </r>
  <r>
    <x v="33"/>
    <s v="Kevin Clark"/>
    <n v="49"/>
    <x v="0"/>
    <x v="33"/>
    <x v="33"/>
    <n v="1"/>
    <x v="1"/>
    <x v="3"/>
    <n v="1184.01"/>
    <n v="1"/>
    <x v="0"/>
    <n v="1184.01"/>
    <x v="3"/>
  </r>
  <r>
    <x v="34"/>
    <s v="Joseph Williams"/>
    <n v="61"/>
    <x v="0"/>
    <x v="34"/>
    <x v="34"/>
    <n v="5"/>
    <x v="0"/>
    <x v="20"/>
    <n v="10760.65"/>
    <n v="1"/>
    <x v="0"/>
    <n v="10760.65"/>
    <x v="0"/>
  </r>
  <r>
    <x v="35"/>
    <s v="Jennifer Jackson"/>
    <n v="32"/>
    <x v="1"/>
    <x v="35"/>
    <x v="35"/>
    <n v="5"/>
    <x v="2"/>
    <x v="21"/>
    <n v="7422.15"/>
    <n v="0.6"/>
    <x v="1"/>
    <n v="0"/>
    <x v="2"/>
  </r>
  <r>
    <x v="36"/>
    <s v="Elizabeth Rodriguez"/>
    <n v="7"/>
    <x v="1"/>
    <x v="36"/>
    <x v="36"/>
    <n v="5"/>
    <x v="3"/>
    <x v="22"/>
    <n v="3623.14"/>
    <n v="0.5"/>
    <x v="0"/>
    <n v="3623.14"/>
    <x v="4"/>
  </r>
  <r>
    <x v="37"/>
    <s v="Mark Miller"/>
    <n v="7"/>
    <x v="0"/>
    <x v="37"/>
    <x v="37"/>
    <n v="1"/>
    <x v="3"/>
    <x v="23"/>
    <n v="946.04"/>
    <n v="0.9"/>
    <x v="1"/>
    <n v="0"/>
    <x v="4"/>
  </r>
  <r>
    <x v="38"/>
    <s v="Kenneth Martinez"/>
    <n v="4"/>
    <x v="0"/>
    <x v="20"/>
    <x v="38"/>
    <n v="3"/>
    <x v="3"/>
    <x v="24"/>
    <n v="3976.01"/>
    <n v="0.6"/>
    <x v="2"/>
    <n v="0"/>
    <x v="4"/>
  </r>
  <r>
    <x v="39"/>
    <s v="Karen Young"/>
    <n v="81"/>
    <x v="1"/>
    <x v="38"/>
    <x v="39"/>
    <n v="9"/>
    <x v="0"/>
    <x v="0"/>
    <n v="26928.32"/>
    <n v="0.7"/>
    <x v="2"/>
    <n v="0"/>
    <x v="1"/>
  </r>
  <r>
    <x v="40"/>
    <s v="Dorothy Ramirez"/>
    <n v="81"/>
    <x v="1"/>
    <x v="39"/>
    <x v="40"/>
    <n v="5"/>
    <x v="0"/>
    <x v="19"/>
    <n v="7203.24"/>
    <n v="0.7"/>
    <x v="0"/>
    <n v="7203.24"/>
    <x v="1"/>
  </r>
  <r>
    <x v="41"/>
    <s v="Donna Williams"/>
    <n v="14"/>
    <x v="1"/>
    <x v="40"/>
    <x v="41"/>
    <n v="4"/>
    <x v="3"/>
    <x v="25"/>
    <n v="5685.06"/>
    <n v="0.8"/>
    <x v="0"/>
    <n v="5685.06"/>
    <x v="4"/>
  </r>
  <r>
    <x v="42"/>
    <s v="Nancy Harris"/>
    <n v="73"/>
    <x v="1"/>
    <x v="41"/>
    <x v="42"/>
    <n v="3"/>
    <x v="4"/>
    <x v="26"/>
    <n v="4949.0600000000004"/>
    <n v="0.5"/>
    <x v="0"/>
    <n v="4949.0600000000004"/>
    <x v="1"/>
  </r>
  <r>
    <x v="43"/>
    <s v="William Wilson"/>
    <n v="50"/>
    <x v="0"/>
    <x v="42"/>
    <x v="43"/>
    <n v="4"/>
    <x v="4"/>
    <x v="14"/>
    <n v="5586.28"/>
    <n v="0.9"/>
    <x v="0"/>
    <n v="5586.28"/>
    <x v="3"/>
  </r>
  <r>
    <x v="44"/>
    <s v="Michelle Taylor"/>
    <n v="73"/>
    <x v="1"/>
    <x v="43"/>
    <x v="44"/>
    <n v="1"/>
    <x v="2"/>
    <x v="10"/>
    <n v="766.8"/>
    <n v="0.6"/>
    <x v="1"/>
    <n v="0"/>
    <x v="1"/>
  </r>
  <r>
    <x v="45"/>
    <s v="Elizabeth Rodriguez"/>
    <n v="60"/>
    <x v="1"/>
    <x v="44"/>
    <x v="45"/>
    <n v="13"/>
    <x v="4"/>
    <x v="13"/>
    <n v="28480.18"/>
    <n v="0.7"/>
    <x v="0"/>
    <n v="28480.18"/>
    <x v="0"/>
  </r>
  <r>
    <x v="46"/>
    <s v="Elizabeth Harris"/>
    <n v="37"/>
    <x v="1"/>
    <x v="45"/>
    <x v="46"/>
    <n v="2"/>
    <x v="2"/>
    <x v="21"/>
    <n v="1098.9100000000001"/>
    <n v="0.7"/>
    <x v="1"/>
    <n v="0"/>
    <x v="3"/>
  </r>
  <r>
    <x v="47"/>
    <s v="David Wilson"/>
    <n v="54"/>
    <x v="0"/>
    <x v="46"/>
    <x v="47"/>
    <n v="10"/>
    <x v="4"/>
    <x v="27"/>
    <n v="22377.119999999999"/>
    <n v="0.8"/>
    <x v="0"/>
    <n v="22377.119999999999"/>
    <x v="0"/>
  </r>
  <r>
    <x v="48"/>
    <s v="Kevin Wilson"/>
    <n v="1"/>
    <x v="0"/>
    <x v="47"/>
    <x v="48"/>
    <n v="4"/>
    <x v="3"/>
    <x v="23"/>
    <n v="3895.9"/>
    <n v="0"/>
    <x v="1"/>
    <n v="0"/>
    <x v="4"/>
  </r>
  <r>
    <x v="49"/>
    <s v="James Wilson"/>
    <n v="51"/>
    <x v="0"/>
    <x v="48"/>
    <x v="49"/>
    <n v="9"/>
    <x v="4"/>
    <x v="27"/>
    <n v="10684"/>
    <n v="0.6"/>
    <x v="0"/>
    <n v="10684"/>
    <x v="0"/>
  </r>
  <r>
    <x v="50"/>
    <s v="Jennifer Perez"/>
    <n v="23"/>
    <x v="1"/>
    <x v="49"/>
    <x v="50"/>
    <n v="4"/>
    <x v="2"/>
    <x v="5"/>
    <n v="3643.5"/>
    <n v="0.7"/>
    <x v="2"/>
    <n v="0"/>
    <x v="2"/>
  </r>
  <r>
    <x v="51"/>
    <s v="Mary Johnson"/>
    <n v="67"/>
    <x v="1"/>
    <x v="50"/>
    <x v="51"/>
    <n v="3"/>
    <x v="1"/>
    <x v="2"/>
    <n v="5702.96"/>
    <n v="0.8"/>
    <x v="0"/>
    <n v="5702.96"/>
    <x v="1"/>
  </r>
  <r>
    <x v="52"/>
    <s v="Joseph Thomas"/>
    <n v="63"/>
    <x v="0"/>
    <x v="41"/>
    <x v="52"/>
    <n v="7"/>
    <x v="0"/>
    <x v="1"/>
    <n v="18049.650000000001"/>
    <n v="0.8"/>
    <x v="0"/>
    <n v="18049.650000000001"/>
    <x v="0"/>
  </r>
  <r>
    <x v="53"/>
    <s v="Anthony Thomas"/>
    <n v="59"/>
    <x v="0"/>
    <x v="51"/>
    <x v="53"/>
    <n v="6"/>
    <x v="0"/>
    <x v="0"/>
    <n v="16488.400000000001"/>
    <n v="0.8"/>
    <x v="0"/>
    <n v="16488.400000000001"/>
    <x v="0"/>
  </r>
  <r>
    <x v="54"/>
    <s v="Donna Clark"/>
    <n v="64"/>
    <x v="1"/>
    <x v="52"/>
    <x v="54"/>
    <n v="8"/>
    <x v="5"/>
    <x v="28"/>
    <n v="18217.14"/>
    <n v="0.5"/>
    <x v="2"/>
    <n v="0"/>
    <x v="0"/>
  </r>
  <r>
    <x v="55"/>
    <s v="Andrew Jones"/>
    <n v="60"/>
    <x v="0"/>
    <x v="53"/>
    <x v="55"/>
    <n v="11"/>
    <x v="4"/>
    <x v="13"/>
    <n v="16175.09"/>
    <n v="0.8"/>
    <x v="1"/>
    <n v="0"/>
    <x v="0"/>
  </r>
  <r>
    <x v="56"/>
    <s v="Jennifer Martinez"/>
    <n v="77"/>
    <x v="1"/>
    <x v="54"/>
    <x v="56"/>
    <n v="8"/>
    <x v="0"/>
    <x v="0"/>
    <n v="12858.55"/>
    <n v="0.8"/>
    <x v="1"/>
    <n v="0"/>
    <x v="1"/>
  </r>
  <r>
    <x v="57"/>
    <s v="Mark Lewis"/>
    <n v="29"/>
    <x v="0"/>
    <x v="55"/>
    <x v="57"/>
    <n v="14"/>
    <x v="4"/>
    <x v="13"/>
    <n v="14617.11"/>
    <n v="0"/>
    <x v="2"/>
    <n v="0"/>
    <x v="2"/>
  </r>
  <r>
    <x v="58"/>
    <s v="Mark Miller"/>
    <n v="77"/>
    <x v="0"/>
    <x v="6"/>
    <x v="58"/>
    <n v="7"/>
    <x v="0"/>
    <x v="29"/>
    <n v="8848.16"/>
    <n v="0.9"/>
    <x v="0"/>
    <n v="8848.16"/>
    <x v="1"/>
  </r>
  <r>
    <x v="59"/>
    <s v="Steven Garcia"/>
    <n v="38"/>
    <x v="0"/>
    <x v="56"/>
    <x v="59"/>
    <n v="2"/>
    <x v="1"/>
    <x v="15"/>
    <n v="4529.29"/>
    <n v="0.6"/>
    <x v="2"/>
    <n v="0"/>
    <x v="3"/>
  </r>
  <r>
    <x v="60"/>
    <s v="Jessica Thomas"/>
    <n v="43"/>
    <x v="1"/>
    <x v="53"/>
    <x v="60"/>
    <n v="2"/>
    <x v="2"/>
    <x v="10"/>
    <n v="1655.08"/>
    <n v="0.8"/>
    <x v="0"/>
    <n v="1655.08"/>
    <x v="3"/>
  </r>
  <r>
    <x v="61"/>
    <s v="Joshua Lee"/>
    <n v="16"/>
    <x v="0"/>
    <x v="57"/>
    <x v="61"/>
    <n v="1"/>
    <x v="3"/>
    <x v="23"/>
    <n v="1165.3699999999999"/>
    <n v="0.8"/>
    <x v="1"/>
    <n v="0"/>
    <x v="4"/>
  </r>
  <r>
    <x v="62"/>
    <s v="Linda Lopez"/>
    <n v="47"/>
    <x v="1"/>
    <x v="58"/>
    <x v="62"/>
    <n v="4"/>
    <x v="0"/>
    <x v="29"/>
    <n v="5020.34"/>
    <n v="0.8"/>
    <x v="0"/>
    <n v="5020.34"/>
    <x v="3"/>
  </r>
  <r>
    <x v="63"/>
    <s v="Jennifer Jackson"/>
    <n v="5"/>
    <x v="1"/>
    <x v="59"/>
    <x v="63"/>
    <n v="3"/>
    <x v="3"/>
    <x v="24"/>
    <n v="4344.45"/>
    <n v="1"/>
    <x v="0"/>
    <n v="4344.45"/>
    <x v="4"/>
  </r>
  <r>
    <x v="64"/>
    <s v="Betty Garcia"/>
    <n v="40"/>
    <x v="1"/>
    <x v="60"/>
    <x v="64"/>
    <n v="9"/>
    <x v="0"/>
    <x v="29"/>
    <n v="11900.88"/>
    <n v="0.8"/>
    <x v="1"/>
    <n v="0"/>
    <x v="3"/>
  </r>
  <r>
    <x v="65"/>
    <s v="Kenneth Wilson"/>
    <n v="67"/>
    <x v="0"/>
    <x v="61"/>
    <x v="65"/>
    <n v="9"/>
    <x v="5"/>
    <x v="17"/>
    <n v="12380.25"/>
    <n v="0.8"/>
    <x v="0"/>
    <n v="12380.25"/>
    <x v="1"/>
  </r>
  <r>
    <x v="66"/>
    <s v="Daniel Anderson"/>
    <n v="63"/>
    <x v="0"/>
    <x v="62"/>
    <x v="66"/>
    <n v="4"/>
    <x v="0"/>
    <x v="20"/>
    <n v="9509.74"/>
    <n v="0.9"/>
    <x v="0"/>
    <n v="9509.74"/>
    <x v="0"/>
  </r>
  <r>
    <x v="67"/>
    <s v="Jessica Young"/>
    <n v="60"/>
    <x v="1"/>
    <x v="63"/>
    <x v="67"/>
    <n v="4"/>
    <x v="5"/>
    <x v="28"/>
    <n v="6803.88"/>
    <n v="0.8"/>
    <x v="0"/>
    <n v="6803.88"/>
    <x v="0"/>
  </r>
  <r>
    <x v="68"/>
    <s v="Michelle Lee"/>
    <n v="67"/>
    <x v="1"/>
    <x v="64"/>
    <x v="68"/>
    <n v="11"/>
    <x v="4"/>
    <x v="13"/>
    <n v="23530.58"/>
    <n v="0.8"/>
    <x v="2"/>
    <n v="0"/>
    <x v="1"/>
  </r>
  <r>
    <x v="69"/>
    <s v="Joseph Johnson"/>
    <n v="83"/>
    <x v="0"/>
    <x v="65"/>
    <x v="69"/>
    <n v="1"/>
    <x v="1"/>
    <x v="7"/>
    <n v="1108.28"/>
    <n v="0.5"/>
    <x v="0"/>
    <n v="1108.28"/>
    <x v="1"/>
  </r>
  <r>
    <x v="70"/>
    <s v="Paul White"/>
    <n v="69"/>
    <x v="0"/>
    <x v="66"/>
    <x v="70"/>
    <n v="7"/>
    <x v="0"/>
    <x v="6"/>
    <n v="15858.97"/>
    <n v="0.8"/>
    <x v="0"/>
    <n v="15858.97"/>
    <x v="1"/>
  </r>
  <r>
    <x v="71"/>
    <s v="Andrew Young"/>
    <n v="66"/>
    <x v="0"/>
    <x v="67"/>
    <x v="65"/>
    <n v="14"/>
    <x v="4"/>
    <x v="18"/>
    <n v="24022.14"/>
    <n v="0.8"/>
    <x v="2"/>
    <n v="0"/>
    <x v="1"/>
  </r>
  <r>
    <x v="72"/>
    <s v="Michelle Wilson"/>
    <n v="29"/>
    <x v="1"/>
    <x v="68"/>
    <x v="71"/>
    <n v="12"/>
    <x v="4"/>
    <x v="18"/>
    <n v="13601.98"/>
    <n v="0.8"/>
    <x v="1"/>
    <n v="0"/>
    <x v="2"/>
  </r>
  <r>
    <x v="73"/>
    <s v="Kenneth White"/>
    <n v="48"/>
    <x v="0"/>
    <x v="59"/>
    <x v="72"/>
    <n v="9"/>
    <x v="5"/>
    <x v="30"/>
    <n v="11054.91"/>
    <n v="0.8"/>
    <x v="0"/>
    <n v="11054.91"/>
    <x v="3"/>
  </r>
  <r>
    <x v="74"/>
    <s v="Matthew Clark"/>
    <n v="71"/>
    <x v="0"/>
    <x v="62"/>
    <x v="73"/>
    <n v="3"/>
    <x v="1"/>
    <x v="2"/>
    <n v="4292.29"/>
    <n v="0.7"/>
    <x v="0"/>
    <n v="4292.29"/>
    <x v="1"/>
  </r>
  <r>
    <x v="75"/>
    <s v="Elizabeth Lewis"/>
    <n v="58"/>
    <x v="1"/>
    <x v="69"/>
    <x v="74"/>
    <n v="9"/>
    <x v="0"/>
    <x v="29"/>
    <n v="15148.04"/>
    <n v="1"/>
    <x v="0"/>
    <n v="15148.04"/>
    <x v="0"/>
  </r>
  <r>
    <x v="76"/>
    <s v="Mary Thomas"/>
    <n v="31"/>
    <x v="1"/>
    <x v="70"/>
    <x v="75"/>
    <n v="7"/>
    <x v="5"/>
    <x v="28"/>
    <n v="12486.34"/>
    <n v="0.6"/>
    <x v="1"/>
    <n v="0"/>
    <x v="2"/>
  </r>
  <r>
    <x v="77"/>
    <s v="Elizabeth Rodriguez"/>
    <n v="6"/>
    <x v="1"/>
    <x v="62"/>
    <x v="76"/>
    <n v="5"/>
    <x v="3"/>
    <x v="24"/>
    <n v="6755.47"/>
    <n v="0.9"/>
    <x v="0"/>
    <n v="6755.47"/>
    <x v="4"/>
  </r>
  <r>
    <x v="78"/>
    <s v="Michelle Perez"/>
    <n v="54"/>
    <x v="1"/>
    <x v="71"/>
    <x v="77"/>
    <n v="2"/>
    <x v="1"/>
    <x v="31"/>
    <n v="2919.13"/>
    <n v="1"/>
    <x v="0"/>
    <n v="2919.13"/>
    <x v="0"/>
  </r>
  <r>
    <x v="79"/>
    <s v="Betty Walker"/>
    <n v="40"/>
    <x v="1"/>
    <x v="72"/>
    <x v="78"/>
    <n v="14"/>
    <x v="4"/>
    <x v="13"/>
    <n v="30241.53"/>
    <n v="1"/>
    <x v="0"/>
    <n v="30241.53"/>
    <x v="3"/>
  </r>
  <r>
    <x v="80"/>
    <s v="Sarah Jackson"/>
    <n v="70"/>
    <x v="1"/>
    <x v="73"/>
    <x v="79"/>
    <n v="7"/>
    <x v="0"/>
    <x v="20"/>
    <n v="12489.15"/>
    <n v="0"/>
    <x v="1"/>
    <n v="0"/>
    <x v="1"/>
  </r>
  <r>
    <x v="81"/>
    <s v="Jessica Thompson"/>
    <n v="34"/>
    <x v="1"/>
    <x v="74"/>
    <x v="80"/>
    <n v="6"/>
    <x v="4"/>
    <x v="26"/>
    <n v="12813.71"/>
    <n v="0.7"/>
    <x v="0"/>
    <n v="12813.71"/>
    <x v="2"/>
  </r>
  <r>
    <x v="82"/>
    <s v="Elizabeth Perez"/>
    <n v="62"/>
    <x v="1"/>
    <x v="75"/>
    <x v="81"/>
    <n v="5"/>
    <x v="4"/>
    <x v="26"/>
    <n v="13205.04"/>
    <n v="0.7"/>
    <x v="0"/>
    <n v="13205.04"/>
    <x v="0"/>
  </r>
  <r>
    <x v="83"/>
    <s v="Paul Harris"/>
    <n v="83"/>
    <x v="0"/>
    <x v="66"/>
    <x v="70"/>
    <n v="7"/>
    <x v="2"/>
    <x v="4"/>
    <n v="3620.28"/>
    <n v="0.8"/>
    <x v="0"/>
    <n v="3620.28"/>
    <x v="1"/>
  </r>
  <r>
    <x v="84"/>
    <s v="Jessica White"/>
    <n v="76"/>
    <x v="1"/>
    <x v="13"/>
    <x v="82"/>
    <n v="7"/>
    <x v="2"/>
    <x v="8"/>
    <n v="7803.54"/>
    <n v="0.7"/>
    <x v="1"/>
    <n v="0"/>
    <x v="1"/>
  </r>
  <r>
    <x v="85"/>
    <s v="Betty Moore"/>
    <n v="50"/>
    <x v="1"/>
    <x v="76"/>
    <x v="83"/>
    <n v="8"/>
    <x v="5"/>
    <x v="12"/>
    <n v="12412.35"/>
    <n v="0.9"/>
    <x v="2"/>
    <n v="0"/>
    <x v="3"/>
  </r>
  <r>
    <x v="86"/>
    <s v="Ashley Smith"/>
    <n v="39"/>
    <x v="1"/>
    <x v="77"/>
    <x v="76"/>
    <n v="2"/>
    <x v="1"/>
    <x v="32"/>
    <n v="2598.06"/>
    <n v="0.8"/>
    <x v="0"/>
    <n v="2598.06"/>
    <x v="3"/>
  </r>
  <r>
    <x v="87"/>
    <s v="Mark Moore"/>
    <n v="68"/>
    <x v="0"/>
    <x v="78"/>
    <x v="84"/>
    <n v="7"/>
    <x v="2"/>
    <x v="21"/>
    <n v="9165.89"/>
    <n v="0.7"/>
    <x v="0"/>
    <n v="9165.89"/>
    <x v="1"/>
  </r>
  <r>
    <x v="88"/>
    <s v="Carol Hernandez"/>
    <n v="55"/>
    <x v="1"/>
    <x v="9"/>
    <x v="85"/>
    <n v="2"/>
    <x v="1"/>
    <x v="2"/>
    <n v="2783.91"/>
    <n v="0.7"/>
    <x v="0"/>
    <n v="2783.91"/>
    <x v="0"/>
  </r>
  <r>
    <x v="89"/>
    <s v="Barbara Taylor"/>
    <n v="71"/>
    <x v="1"/>
    <x v="79"/>
    <x v="86"/>
    <n v="9"/>
    <x v="0"/>
    <x v="1"/>
    <n v="23939.75"/>
    <n v="0.6"/>
    <x v="0"/>
    <n v="23939.75"/>
    <x v="1"/>
  </r>
  <r>
    <x v="90"/>
    <s v="Lisa Brown"/>
    <n v="55"/>
    <x v="1"/>
    <x v="80"/>
    <x v="87"/>
    <n v="8"/>
    <x v="5"/>
    <x v="28"/>
    <n v="19244.54"/>
    <n v="0.8"/>
    <x v="0"/>
    <n v="19244.54"/>
    <x v="0"/>
  </r>
  <r>
    <x v="91"/>
    <s v="Barbara Walker"/>
    <n v="60"/>
    <x v="1"/>
    <x v="43"/>
    <x v="88"/>
    <n v="9"/>
    <x v="0"/>
    <x v="0"/>
    <n v="17194.91"/>
    <n v="0.9"/>
    <x v="0"/>
    <n v="17194.91"/>
    <x v="0"/>
  </r>
  <r>
    <x v="92"/>
    <s v="Thomas Hernandez"/>
    <n v="62"/>
    <x v="0"/>
    <x v="81"/>
    <x v="89"/>
    <n v="3"/>
    <x v="2"/>
    <x v="33"/>
    <n v="3707.77"/>
    <n v="0.8"/>
    <x v="0"/>
    <n v="3707.77"/>
    <x v="0"/>
  </r>
  <r>
    <x v="93"/>
    <s v="Sarah Young"/>
    <n v="62"/>
    <x v="1"/>
    <x v="82"/>
    <x v="90"/>
    <n v="6"/>
    <x v="5"/>
    <x v="34"/>
    <n v="11445.42"/>
    <n v="0.8"/>
    <x v="1"/>
    <n v="0"/>
    <x v="0"/>
  </r>
  <r>
    <x v="94"/>
    <s v="David Anderson"/>
    <n v="52"/>
    <x v="0"/>
    <x v="83"/>
    <x v="61"/>
    <n v="2"/>
    <x v="2"/>
    <x v="4"/>
    <n v="1587.61"/>
    <n v="0.9"/>
    <x v="1"/>
    <n v="0"/>
    <x v="0"/>
  </r>
  <r>
    <x v="95"/>
    <s v="Mark Thompson"/>
    <n v="32"/>
    <x v="0"/>
    <x v="84"/>
    <x v="91"/>
    <n v="2"/>
    <x v="1"/>
    <x v="15"/>
    <n v="4946.29"/>
    <n v="0.8"/>
    <x v="0"/>
    <n v="4946.29"/>
    <x v="2"/>
  </r>
  <r>
    <x v="96"/>
    <s v="Daniel Garcia"/>
    <n v="15"/>
    <x v="0"/>
    <x v="85"/>
    <x v="92"/>
    <n v="3"/>
    <x v="3"/>
    <x v="24"/>
    <n v="3757.58"/>
    <n v="0.8"/>
    <x v="0"/>
    <n v="3757.58"/>
    <x v="4"/>
  </r>
  <r>
    <x v="97"/>
    <s v="Michael Ramirez"/>
    <n v="61"/>
    <x v="0"/>
    <x v="86"/>
    <x v="93"/>
    <n v="5"/>
    <x v="0"/>
    <x v="20"/>
    <n v="10173.43"/>
    <n v="0.7"/>
    <x v="2"/>
    <n v="0"/>
    <x v="0"/>
  </r>
  <r>
    <x v="98"/>
    <s v="Linda Robinson"/>
    <n v="1"/>
    <x v="1"/>
    <x v="87"/>
    <x v="94"/>
    <n v="5"/>
    <x v="3"/>
    <x v="24"/>
    <n v="4626.03"/>
    <n v="0.5"/>
    <x v="1"/>
    <n v="0"/>
    <x v="4"/>
  </r>
  <r>
    <x v="99"/>
    <s v="Jennifer Martinez"/>
    <n v="28"/>
    <x v="1"/>
    <x v="88"/>
    <x v="95"/>
    <n v="3"/>
    <x v="2"/>
    <x v="16"/>
    <n v="3159.6"/>
    <n v="0.8"/>
    <x v="0"/>
    <n v="3159.6"/>
    <x v="2"/>
  </r>
  <r>
    <x v="100"/>
    <s v="Matthew Williams"/>
    <n v="78"/>
    <x v="0"/>
    <x v="89"/>
    <x v="80"/>
    <n v="3"/>
    <x v="1"/>
    <x v="7"/>
    <n v="6630.7"/>
    <n v="0.9"/>
    <x v="0"/>
    <n v="6630.7"/>
    <x v="1"/>
  </r>
  <r>
    <x v="101"/>
    <s v="Paul Robinson"/>
    <n v="51"/>
    <x v="0"/>
    <x v="90"/>
    <x v="96"/>
    <n v="9"/>
    <x v="5"/>
    <x v="12"/>
    <n v="17220.650000000001"/>
    <n v="0.7"/>
    <x v="2"/>
    <n v="0"/>
    <x v="0"/>
  </r>
  <r>
    <x v="102"/>
    <s v="David Walker"/>
    <n v="70"/>
    <x v="0"/>
    <x v="91"/>
    <x v="97"/>
    <n v="5"/>
    <x v="4"/>
    <x v="18"/>
    <n v="13557.6"/>
    <n v="0.9"/>
    <x v="0"/>
    <n v="13557.6"/>
    <x v="1"/>
  </r>
  <r>
    <x v="103"/>
    <s v="Daniel White"/>
    <n v="51"/>
    <x v="0"/>
    <x v="92"/>
    <x v="98"/>
    <n v="2"/>
    <x v="2"/>
    <x v="33"/>
    <n v="1460.86"/>
    <n v="0.7"/>
    <x v="2"/>
    <n v="0"/>
    <x v="0"/>
  </r>
  <r>
    <x v="104"/>
    <s v="Daniel Walker"/>
    <n v="57"/>
    <x v="0"/>
    <x v="93"/>
    <x v="99"/>
    <n v="3"/>
    <x v="5"/>
    <x v="34"/>
    <n v="5152.58"/>
    <n v="0"/>
    <x v="0"/>
    <n v="5152.58"/>
    <x v="0"/>
  </r>
  <r>
    <x v="105"/>
    <s v="Lisa Anderson"/>
    <n v="37"/>
    <x v="1"/>
    <x v="94"/>
    <x v="100"/>
    <n v="1"/>
    <x v="1"/>
    <x v="3"/>
    <n v="954.61"/>
    <n v="0.9"/>
    <x v="0"/>
    <n v="954.61"/>
    <x v="3"/>
  </r>
  <r>
    <x v="106"/>
    <s v="Steven Clark"/>
    <n v="59"/>
    <x v="0"/>
    <x v="95"/>
    <x v="24"/>
    <n v="6"/>
    <x v="0"/>
    <x v="20"/>
    <n v="11951.45"/>
    <n v="1"/>
    <x v="0"/>
    <n v="11951.45"/>
    <x v="0"/>
  </r>
  <r>
    <x v="107"/>
    <s v="Daniel Anderson"/>
    <n v="2"/>
    <x v="0"/>
    <x v="96"/>
    <x v="101"/>
    <n v="2"/>
    <x v="3"/>
    <x v="24"/>
    <n v="3169.16"/>
    <n v="0.6"/>
    <x v="1"/>
    <n v="0"/>
    <x v="4"/>
  </r>
  <r>
    <x v="108"/>
    <s v="William Brown"/>
    <n v="55"/>
    <x v="0"/>
    <x v="97"/>
    <x v="102"/>
    <n v="1"/>
    <x v="2"/>
    <x v="16"/>
    <n v="1178.75"/>
    <n v="0.7"/>
    <x v="0"/>
    <n v="1178.75"/>
    <x v="0"/>
  </r>
  <r>
    <x v="109"/>
    <s v="Christopher Davis"/>
    <n v="69"/>
    <x v="0"/>
    <x v="98"/>
    <x v="103"/>
    <n v="3"/>
    <x v="1"/>
    <x v="2"/>
    <n v="4895.09"/>
    <n v="0.5"/>
    <x v="2"/>
    <n v="0"/>
    <x v="1"/>
  </r>
  <r>
    <x v="110"/>
    <s v="Joseph Williams"/>
    <n v="2"/>
    <x v="0"/>
    <x v="99"/>
    <x v="104"/>
    <n v="1"/>
    <x v="3"/>
    <x v="22"/>
    <n v="819.61"/>
    <n v="0.8"/>
    <x v="0"/>
    <n v="819.61"/>
    <x v="4"/>
  </r>
  <r>
    <x v="111"/>
    <s v="Sandra Jackson"/>
    <n v="40"/>
    <x v="1"/>
    <x v="100"/>
    <x v="105"/>
    <n v="2"/>
    <x v="1"/>
    <x v="2"/>
    <n v="2899.4"/>
    <n v="0.7"/>
    <x v="1"/>
    <n v="0"/>
    <x v="3"/>
  </r>
  <r>
    <x v="112"/>
    <s v="Sandra Moore"/>
    <n v="4"/>
    <x v="1"/>
    <x v="101"/>
    <x v="106"/>
    <n v="2"/>
    <x v="3"/>
    <x v="24"/>
    <n v="2638.05"/>
    <n v="0.9"/>
    <x v="1"/>
    <n v="0"/>
    <x v="4"/>
  </r>
  <r>
    <x v="113"/>
    <s v="Karen Anderson"/>
    <n v="19"/>
    <x v="1"/>
    <x v="102"/>
    <x v="107"/>
    <n v="3"/>
    <x v="1"/>
    <x v="3"/>
    <n v="6176.26"/>
    <n v="0.7"/>
    <x v="1"/>
    <n v="0"/>
    <x v="2"/>
  </r>
  <r>
    <x v="114"/>
    <s v="Paul Lopez"/>
    <n v="29"/>
    <x v="0"/>
    <x v="103"/>
    <x v="108"/>
    <n v="3"/>
    <x v="4"/>
    <x v="27"/>
    <n v="4035.23"/>
    <n v="0.8"/>
    <x v="0"/>
    <n v="4035.23"/>
    <x v="2"/>
  </r>
  <r>
    <x v="115"/>
    <s v="Lisa Johnson"/>
    <n v="36"/>
    <x v="1"/>
    <x v="104"/>
    <x v="109"/>
    <n v="2"/>
    <x v="2"/>
    <x v="16"/>
    <n v="1068.76"/>
    <n v="0.8"/>
    <x v="0"/>
    <n v="1068.76"/>
    <x v="3"/>
  </r>
  <r>
    <x v="116"/>
    <s v="Kenneth Garcia"/>
    <n v="45"/>
    <x v="0"/>
    <x v="105"/>
    <x v="110"/>
    <n v="3"/>
    <x v="1"/>
    <x v="32"/>
    <n v="2606.79"/>
    <n v="0.7"/>
    <x v="1"/>
    <n v="0"/>
    <x v="3"/>
  </r>
  <r>
    <x v="117"/>
    <s v="Emily Williams"/>
    <n v="2"/>
    <x v="1"/>
    <x v="106"/>
    <x v="111"/>
    <n v="2"/>
    <x v="3"/>
    <x v="9"/>
    <n v="2856.34"/>
    <n v="1"/>
    <x v="1"/>
    <n v="0"/>
    <x v="4"/>
  </r>
  <r>
    <x v="118"/>
    <s v="Sandra Young"/>
    <n v="48"/>
    <x v="1"/>
    <x v="107"/>
    <x v="112"/>
    <n v="8"/>
    <x v="4"/>
    <x v="18"/>
    <n v="13136.54"/>
    <n v="1"/>
    <x v="1"/>
    <n v="0"/>
    <x v="3"/>
  </r>
  <r>
    <x v="119"/>
    <s v="Robert Moore"/>
    <n v="32"/>
    <x v="0"/>
    <x v="108"/>
    <x v="108"/>
    <n v="6"/>
    <x v="4"/>
    <x v="14"/>
    <n v="10441.879999999999"/>
    <n v="0.7"/>
    <x v="1"/>
    <n v="0"/>
    <x v="2"/>
  </r>
  <r>
    <x v="120"/>
    <s v="Kenneth Perez"/>
    <n v="39"/>
    <x v="0"/>
    <x v="109"/>
    <x v="113"/>
    <n v="7"/>
    <x v="2"/>
    <x v="4"/>
    <n v="8804.17"/>
    <n v="0.7"/>
    <x v="1"/>
    <n v="0"/>
    <x v="3"/>
  </r>
  <r>
    <x v="121"/>
    <s v="Kevin Lewis"/>
    <n v="14"/>
    <x v="0"/>
    <x v="110"/>
    <x v="45"/>
    <n v="5"/>
    <x v="3"/>
    <x v="25"/>
    <n v="8692.2099999999991"/>
    <n v="0.8"/>
    <x v="1"/>
    <n v="0"/>
    <x v="4"/>
  </r>
  <r>
    <x v="122"/>
    <s v="Christopher Lewis"/>
    <n v="77"/>
    <x v="0"/>
    <x v="111"/>
    <x v="114"/>
    <n v="5"/>
    <x v="0"/>
    <x v="0"/>
    <n v="8942.35"/>
    <n v="0"/>
    <x v="0"/>
    <n v="8942.35"/>
    <x v="1"/>
  </r>
  <r>
    <x v="123"/>
    <s v="Kenneth Williams"/>
    <n v="59"/>
    <x v="0"/>
    <x v="112"/>
    <x v="57"/>
    <n v="10"/>
    <x v="5"/>
    <x v="35"/>
    <n v="17584.490000000002"/>
    <n v="1"/>
    <x v="2"/>
    <n v="0"/>
    <x v="0"/>
  </r>
  <r>
    <x v="124"/>
    <s v="Betty Walker"/>
    <n v="84"/>
    <x v="1"/>
    <x v="113"/>
    <x v="115"/>
    <n v="1"/>
    <x v="1"/>
    <x v="31"/>
    <n v="1921.25"/>
    <n v="0.5"/>
    <x v="2"/>
    <n v="0"/>
    <x v="1"/>
  </r>
  <r>
    <x v="125"/>
    <s v="Linda Walker"/>
    <n v="41"/>
    <x v="1"/>
    <x v="114"/>
    <x v="116"/>
    <n v="3"/>
    <x v="5"/>
    <x v="35"/>
    <n v="6966.69"/>
    <n v="0.7"/>
    <x v="1"/>
    <n v="0"/>
    <x v="3"/>
  </r>
  <r>
    <x v="126"/>
    <s v="Sarah Davis"/>
    <n v="4"/>
    <x v="1"/>
    <x v="115"/>
    <x v="117"/>
    <n v="4"/>
    <x v="3"/>
    <x v="25"/>
    <n v="5715.35"/>
    <n v="0.7"/>
    <x v="0"/>
    <n v="5715.35"/>
    <x v="4"/>
  </r>
  <r>
    <x v="127"/>
    <s v="Jennifer Clark"/>
    <n v="48"/>
    <x v="1"/>
    <x v="116"/>
    <x v="118"/>
    <n v="3"/>
    <x v="1"/>
    <x v="31"/>
    <n v="4210.91"/>
    <n v="0.9"/>
    <x v="0"/>
    <n v="4210.91"/>
    <x v="3"/>
  </r>
  <r>
    <x v="128"/>
    <s v="Sarah Hernandez"/>
    <n v="62"/>
    <x v="1"/>
    <x v="117"/>
    <x v="119"/>
    <n v="7"/>
    <x v="0"/>
    <x v="1"/>
    <n v="11082.93"/>
    <n v="0.5"/>
    <x v="1"/>
    <n v="0"/>
    <x v="0"/>
  </r>
  <r>
    <x v="129"/>
    <s v="Elizabeth Garcia"/>
    <n v="31"/>
    <x v="1"/>
    <x v="118"/>
    <x v="120"/>
    <n v="5"/>
    <x v="2"/>
    <x v="10"/>
    <n v="6234.49"/>
    <n v="1"/>
    <x v="1"/>
    <n v="0"/>
    <x v="2"/>
  </r>
  <r>
    <x v="130"/>
    <s v="Karen Moore"/>
    <n v="65"/>
    <x v="1"/>
    <x v="119"/>
    <x v="121"/>
    <n v="10"/>
    <x v="5"/>
    <x v="35"/>
    <n v="17644.05"/>
    <n v="0.6"/>
    <x v="0"/>
    <n v="17644.05"/>
    <x v="0"/>
  </r>
  <r>
    <x v="131"/>
    <s v="James Davis"/>
    <n v="80"/>
    <x v="0"/>
    <x v="120"/>
    <x v="122"/>
    <n v="9"/>
    <x v="5"/>
    <x v="12"/>
    <n v="11838.97"/>
    <n v="0.7"/>
    <x v="2"/>
    <n v="0"/>
    <x v="1"/>
  </r>
  <r>
    <x v="132"/>
    <s v="Joshua Martin"/>
    <n v="9"/>
    <x v="0"/>
    <x v="84"/>
    <x v="123"/>
    <n v="3"/>
    <x v="3"/>
    <x v="24"/>
    <n v="2139.13"/>
    <n v="0.9"/>
    <x v="2"/>
    <n v="0"/>
    <x v="4"/>
  </r>
  <r>
    <x v="133"/>
    <s v="Susan White"/>
    <n v="48"/>
    <x v="1"/>
    <x v="64"/>
    <x v="124"/>
    <n v="7"/>
    <x v="0"/>
    <x v="6"/>
    <n v="10657.18"/>
    <n v="1"/>
    <x v="0"/>
    <n v="10657.18"/>
    <x v="3"/>
  </r>
  <r>
    <x v="134"/>
    <s v="Jessica Harris"/>
    <n v="83"/>
    <x v="1"/>
    <x v="121"/>
    <x v="77"/>
    <n v="6"/>
    <x v="0"/>
    <x v="29"/>
    <n v="17707.36"/>
    <n v="0.9"/>
    <x v="0"/>
    <n v="17707.36"/>
    <x v="1"/>
  </r>
  <r>
    <x v="135"/>
    <s v="James Brown"/>
    <n v="57"/>
    <x v="0"/>
    <x v="122"/>
    <x v="105"/>
    <n v="13"/>
    <x v="4"/>
    <x v="18"/>
    <n v="31874.83"/>
    <n v="0.9"/>
    <x v="1"/>
    <n v="0"/>
    <x v="0"/>
  </r>
  <r>
    <x v="136"/>
    <s v="Jessica Lopez"/>
    <n v="50"/>
    <x v="1"/>
    <x v="123"/>
    <x v="125"/>
    <n v="6"/>
    <x v="2"/>
    <x v="10"/>
    <n v="5681.44"/>
    <n v="0.7"/>
    <x v="0"/>
    <n v="5681.44"/>
    <x v="3"/>
  </r>
  <r>
    <x v="137"/>
    <s v="Mary Robinson"/>
    <n v="58"/>
    <x v="1"/>
    <x v="124"/>
    <x v="126"/>
    <n v="7"/>
    <x v="0"/>
    <x v="0"/>
    <n v="17588.68"/>
    <n v="0.9"/>
    <x v="0"/>
    <n v="17588.68"/>
    <x v="0"/>
  </r>
  <r>
    <x v="138"/>
    <s v="Matthew Davis"/>
    <n v="58"/>
    <x v="0"/>
    <x v="125"/>
    <x v="127"/>
    <n v="2"/>
    <x v="2"/>
    <x v="33"/>
    <n v="1113.6199999999999"/>
    <n v="0.8"/>
    <x v="0"/>
    <n v="1113.6199999999999"/>
    <x v="0"/>
  </r>
  <r>
    <x v="139"/>
    <s v="Christopher Wilson"/>
    <n v="60"/>
    <x v="0"/>
    <x v="126"/>
    <x v="128"/>
    <n v="5"/>
    <x v="2"/>
    <x v="33"/>
    <n v="3222.62"/>
    <n v="0.9"/>
    <x v="1"/>
    <n v="0"/>
    <x v="0"/>
  </r>
  <r>
    <x v="140"/>
    <s v="Karen Williams"/>
    <n v="53"/>
    <x v="1"/>
    <x v="127"/>
    <x v="112"/>
    <n v="5"/>
    <x v="2"/>
    <x v="4"/>
    <n v="4276.67"/>
    <n v="0.5"/>
    <x v="0"/>
    <n v="4276.67"/>
    <x v="0"/>
  </r>
  <r>
    <x v="141"/>
    <s v="Jennifer Smith"/>
    <n v="37"/>
    <x v="1"/>
    <x v="128"/>
    <x v="129"/>
    <n v="4"/>
    <x v="2"/>
    <x v="10"/>
    <n v="2378.61"/>
    <n v="0.7"/>
    <x v="0"/>
    <n v="2378.61"/>
    <x v="3"/>
  </r>
  <r>
    <x v="142"/>
    <s v="Matthew Garcia"/>
    <n v="52"/>
    <x v="0"/>
    <x v="129"/>
    <x v="130"/>
    <n v="1"/>
    <x v="1"/>
    <x v="36"/>
    <n v="1802.47"/>
    <n v="0.7"/>
    <x v="2"/>
    <n v="0"/>
    <x v="0"/>
  </r>
  <r>
    <x v="143"/>
    <s v="Michelle Thomas"/>
    <n v="64"/>
    <x v="1"/>
    <x v="130"/>
    <x v="107"/>
    <n v="9"/>
    <x v="0"/>
    <x v="29"/>
    <n v="26472.01"/>
    <n v="0.6"/>
    <x v="2"/>
    <n v="0"/>
    <x v="0"/>
  </r>
  <r>
    <x v="144"/>
    <s v="Robert Miller"/>
    <n v="31"/>
    <x v="0"/>
    <x v="131"/>
    <x v="131"/>
    <n v="9"/>
    <x v="5"/>
    <x v="35"/>
    <n v="15209.42"/>
    <n v="0.8"/>
    <x v="1"/>
    <n v="0"/>
    <x v="2"/>
  </r>
  <r>
    <x v="145"/>
    <s v="Lisa Rodriguez"/>
    <n v="54"/>
    <x v="1"/>
    <x v="132"/>
    <x v="132"/>
    <n v="1"/>
    <x v="2"/>
    <x v="10"/>
    <n v="683.93"/>
    <n v="0"/>
    <x v="1"/>
    <n v="0"/>
    <x v="0"/>
  </r>
  <r>
    <x v="146"/>
    <s v="Barbara Wilson"/>
    <n v="77"/>
    <x v="1"/>
    <x v="133"/>
    <x v="133"/>
    <n v="4"/>
    <x v="2"/>
    <x v="16"/>
    <n v="2163.62"/>
    <n v="0.6"/>
    <x v="0"/>
    <n v="2163.62"/>
    <x v="1"/>
  </r>
  <r>
    <x v="147"/>
    <s v="Barbara Jones"/>
    <n v="28"/>
    <x v="1"/>
    <x v="134"/>
    <x v="134"/>
    <n v="3"/>
    <x v="1"/>
    <x v="15"/>
    <n v="7033.75"/>
    <n v="0.9"/>
    <x v="0"/>
    <n v="7033.75"/>
    <x v="2"/>
  </r>
  <r>
    <x v="148"/>
    <s v="Lisa Williams"/>
    <n v="57"/>
    <x v="1"/>
    <x v="135"/>
    <x v="39"/>
    <n v="5"/>
    <x v="0"/>
    <x v="19"/>
    <n v="9216.99"/>
    <n v="1"/>
    <x v="0"/>
    <n v="9216.99"/>
    <x v="0"/>
  </r>
  <r>
    <x v="149"/>
    <s v="Jennifer Young"/>
    <n v="32"/>
    <x v="1"/>
    <x v="80"/>
    <x v="135"/>
    <n v="2"/>
    <x v="2"/>
    <x v="10"/>
    <n v="1561.35"/>
    <n v="0.9"/>
    <x v="2"/>
    <n v="0"/>
    <x v="2"/>
  </r>
  <r>
    <x v="150"/>
    <s v="Karen Smith"/>
    <n v="41"/>
    <x v="1"/>
    <x v="132"/>
    <x v="136"/>
    <n v="9"/>
    <x v="0"/>
    <x v="0"/>
    <n v="24856.18"/>
    <n v="1"/>
    <x v="0"/>
    <n v="24856.18"/>
    <x v="3"/>
  </r>
  <r>
    <x v="151"/>
    <s v="Mark Smith"/>
    <n v="43"/>
    <x v="0"/>
    <x v="136"/>
    <x v="137"/>
    <n v="2"/>
    <x v="1"/>
    <x v="15"/>
    <n v="2493.0500000000002"/>
    <n v="0.9"/>
    <x v="0"/>
    <n v="2493.0500000000002"/>
    <x v="3"/>
  </r>
  <r>
    <x v="152"/>
    <s v="Andrew Martinez"/>
    <n v="49"/>
    <x v="0"/>
    <x v="137"/>
    <x v="138"/>
    <n v="3"/>
    <x v="1"/>
    <x v="7"/>
    <n v="5177.47"/>
    <n v="0.6"/>
    <x v="0"/>
    <n v="5177.47"/>
    <x v="3"/>
  </r>
  <r>
    <x v="153"/>
    <s v="Betty Williams"/>
    <n v="75"/>
    <x v="1"/>
    <x v="138"/>
    <x v="69"/>
    <n v="8"/>
    <x v="4"/>
    <x v="13"/>
    <n v="12122.8"/>
    <n v="0.8"/>
    <x v="0"/>
    <n v="12122.8"/>
    <x v="1"/>
  </r>
  <r>
    <x v="154"/>
    <s v="Robert Jones"/>
    <n v="48"/>
    <x v="0"/>
    <x v="139"/>
    <x v="139"/>
    <n v="4"/>
    <x v="5"/>
    <x v="28"/>
    <n v="6625.48"/>
    <n v="0.6"/>
    <x v="2"/>
    <n v="0"/>
    <x v="3"/>
  </r>
  <r>
    <x v="155"/>
    <s v="David Jones"/>
    <n v="72"/>
    <x v="0"/>
    <x v="140"/>
    <x v="140"/>
    <n v="9"/>
    <x v="4"/>
    <x v="14"/>
    <n v="17423.45"/>
    <n v="0.7"/>
    <x v="2"/>
    <n v="0"/>
    <x v="1"/>
  </r>
  <r>
    <x v="156"/>
    <s v="Richard Ramirez"/>
    <n v="65"/>
    <x v="0"/>
    <x v="141"/>
    <x v="141"/>
    <n v="9"/>
    <x v="0"/>
    <x v="1"/>
    <n v="13753.53"/>
    <n v="0.9"/>
    <x v="1"/>
    <n v="0"/>
    <x v="0"/>
  </r>
  <r>
    <x v="157"/>
    <s v="Matthew Williams"/>
    <n v="44"/>
    <x v="0"/>
    <x v="142"/>
    <x v="142"/>
    <n v="10"/>
    <x v="0"/>
    <x v="0"/>
    <n v="18100.37"/>
    <n v="0.8"/>
    <x v="0"/>
    <n v="18100.37"/>
    <x v="3"/>
  </r>
  <r>
    <x v="158"/>
    <s v="Linda Brown"/>
    <n v="48"/>
    <x v="1"/>
    <x v="143"/>
    <x v="143"/>
    <n v="7"/>
    <x v="4"/>
    <x v="26"/>
    <n v="16172.66"/>
    <n v="0.7"/>
    <x v="1"/>
    <n v="0"/>
    <x v="3"/>
  </r>
  <r>
    <x v="159"/>
    <s v="Carol Thompson"/>
    <n v="43"/>
    <x v="1"/>
    <x v="144"/>
    <x v="144"/>
    <n v="7"/>
    <x v="2"/>
    <x v="8"/>
    <n v="7133.08"/>
    <n v="0.9"/>
    <x v="1"/>
    <n v="0"/>
    <x v="3"/>
  </r>
  <r>
    <x v="160"/>
    <s v="Joseph Jackson"/>
    <n v="48"/>
    <x v="0"/>
    <x v="66"/>
    <x v="145"/>
    <n v="10"/>
    <x v="0"/>
    <x v="0"/>
    <n v="27699.3"/>
    <n v="0.5"/>
    <x v="1"/>
    <n v="0"/>
    <x v="3"/>
  </r>
  <r>
    <x v="161"/>
    <s v="Richard Rodriguez"/>
    <n v="77"/>
    <x v="0"/>
    <x v="145"/>
    <x v="146"/>
    <n v="1"/>
    <x v="1"/>
    <x v="2"/>
    <n v="1403.37"/>
    <n v="0.8"/>
    <x v="1"/>
    <n v="0"/>
    <x v="1"/>
  </r>
  <r>
    <x v="162"/>
    <s v="Karen Smith"/>
    <n v="69"/>
    <x v="1"/>
    <x v="146"/>
    <x v="147"/>
    <n v="3"/>
    <x v="1"/>
    <x v="31"/>
    <n v="3350.67"/>
    <n v="0.8"/>
    <x v="1"/>
    <n v="0"/>
    <x v="1"/>
  </r>
  <r>
    <x v="163"/>
    <s v="Elizabeth Williams"/>
    <n v="52"/>
    <x v="1"/>
    <x v="147"/>
    <x v="148"/>
    <n v="2"/>
    <x v="1"/>
    <x v="31"/>
    <n v="2922.92"/>
    <n v="1"/>
    <x v="1"/>
    <n v="0"/>
    <x v="0"/>
  </r>
  <r>
    <x v="164"/>
    <s v="Lisa Garcia"/>
    <n v="67"/>
    <x v="1"/>
    <x v="148"/>
    <x v="55"/>
    <n v="2"/>
    <x v="1"/>
    <x v="31"/>
    <n v="2127.71"/>
    <n v="0.9"/>
    <x v="2"/>
    <n v="0"/>
    <x v="1"/>
  </r>
  <r>
    <x v="165"/>
    <s v="Ashley Smith"/>
    <n v="75"/>
    <x v="1"/>
    <x v="149"/>
    <x v="149"/>
    <n v="9"/>
    <x v="0"/>
    <x v="29"/>
    <n v="15507.09"/>
    <n v="0.9"/>
    <x v="0"/>
    <n v="15507.09"/>
    <x v="1"/>
  </r>
  <r>
    <x v="166"/>
    <s v="Steven Thomas"/>
    <n v="3"/>
    <x v="0"/>
    <x v="150"/>
    <x v="150"/>
    <n v="2"/>
    <x v="3"/>
    <x v="37"/>
    <n v="2767.57"/>
    <n v="0.5"/>
    <x v="0"/>
    <n v="2767.57"/>
    <x v="4"/>
  </r>
  <r>
    <x v="167"/>
    <s v="Ashley Wilson"/>
    <n v="82"/>
    <x v="1"/>
    <x v="151"/>
    <x v="131"/>
    <n v="1"/>
    <x v="1"/>
    <x v="2"/>
    <n v="1998.09"/>
    <n v="0.8"/>
    <x v="0"/>
    <n v="1998.09"/>
    <x v="1"/>
  </r>
  <r>
    <x v="168"/>
    <s v="Carol Garcia"/>
    <n v="16"/>
    <x v="1"/>
    <x v="70"/>
    <x v="69"/>
    <n v="5"/>
    <x v="3"/>
    <x v="25"/>
    <n v="6351.72"/>
    <n v="0.6"/>
    <x v="0"/>
    <n v="6351.72"/>
    <x v="4"/>
  </r>
  <r>
    <x v="169"/>
    <s v="Richard Williams"/>
    <n v="47"/>
    <x v="0"/>
    <x v="152"/>
    <x v="151"/>
    <n v="2"/>
    <x v="1"/>
    <x v="7"/>
    <n v="2177.35"/>
    <n v="0.8"/>
    <x v="0"/>
    <n v="2177.35"/>
    <x v="3"/>
  </r>
  <r>
    <x v="170"/>
    <s v="Mary Martin"/>
    <n v="52"/>
    <x v="1"/>
    <x v="153"/>
    <x v="111"/>
    <n v="3"/>
    <x v="0"/>
    <x v="1"/>
    <n v="4484.95"/>
    <n v="0.8"/>
    <x v="0"/>
    <n v="4484.95"/>
    <x v="0"/>
  </r>
  <r>
    <x v="171"/>
    <s v="Richard Jones"/>
    <n v="81"/>
    <x v="0"/>
    <x v="154"/>
    <x v="152"/>
    <n v="2"/>
    <x v="1"/>
    <x v="32"/>
    <n v="3381.88"/>
    <n v="0.9"/>
    <x v="0"/>
    <n v="3381.88"/>
    <x v="1"/>
  </r>
  <r>
    <x v="172"/>
    <s v="Brian Taylor"/>
    <n v="60"/>
    <x v="0"/>
    <x v="155"/>
    <x v="153"/>
    <n v="5"/>
    <x v="4"/>
    <x v="18"/>
    <n v="11601.6"/>
    <n v="0.7"/>
    <x v="1"/>
    <n v="0"/>
    <x v="0"/>
  </r>
  <r>
    <x v="173"/>
    <s v="Jessica Hernandez"/>
    <n v="82"/>
    <x v="1"/>
    <x v="156"/>
    <x v="154"/>
    <n v="2"/>
    <x v="1"/>
    <x v="2"/>
    <n v="2198.17"/>
    <n v="0.9"/>
    <x v="0"/>
    <n v="2198.17"/>
    <x v="1"/>
  </r>
  <r>
    <x v="174"/>
    <s v="Emily Robinson"/>
    <n v="34"/>
    <x v="1"/>
    <x v="157"/>
    <x v="155"/>
    <n v="13"/>
    <x v="4"/>
    <x v="13"/>
    <n v="35611.43"/>
    <n v="0.7"/>
    <x v="0"/>
    <n v="35611.43"/>
    <x v="2"/>
  </r>
  <r>
    <x v="175"/>
    <s v="Christopher White"/>
    <n v="55"/>
    <x v="0"/>
    <x v="32"/>
    <x v="121"/>
    <n v="5"/>
    <x v="0"/>
    <x v="20"/>
    <n v="8093.35"/>
    <n v="1"/>
    <x v="2"/>
    <n v="0"/>
    <x v="0"/>
  </r>
  <r>
    <x v="176"/>
    <s v="James White"/>
    <n v="69"/>
    <x v="0"/>
    <x v="158"/>
    <x v="156"/>
    <n v="8"/>
    <x v="5"/>
    <x v="34"/>
    <n v="15311.93"/>
    <n v="0.6"/>
    <x v="1"/>
    <n v="0"/>
    <x v="1"/>
  </r>
  <r>
    <x v="177"/>
    <s v="Lisa Thompson"/>
    <n v="59"/>
    <x v="1"/>
    <x v="50"/>
    <x v="51"/>
    <n v="3"/>
    <x v="1"/>
    <x v="2"/>
    <n v="4201.93"/>
    <n v="0.8"/>
    <x v="0"/>
    <n v="4201.93"/>
    <x v="0"/>
  </r>
  <r>
    <x v="178"/>
    <s v="Ashley Walker"/>
    <n v="51"/>
    <x v="1"/>
    <x v="159"/>
    <x v="157"/>
    <n v="9"/>
    <x v="4"/>
    <x v="27"/>
    <n v="12277.27"/>
    <n v="0.9"/>
    <x v="0"/>
    <n v="12277.27"/>
    <x v="0"/>
  </r>
  <r>
    <x v="179"/>
    <s v="Jessica Ramirez"/>
    <n v="7"/>
    <x v="1"/>
    <x v="160"/>
    <x v="158"/>
    <n v="4"/>
    <x v="3"/>
    <x v="24"/>
    <n v="4150.83"/>
    <n v="0.7"/>
    <x v="1"/>
    <n v="0"/>
    <x v="4"/>
  </r>
  <r>
    <x v="180"/>
    <s v="Daniel Jackson"/>
    <n v="27"/>
    <x v="0"/>
    <x v="161"/>
    <x v="159"/>
    <n v="3"/>
    <x v="2"/>
    <x v="33"/>
    <n v="2123.81"/>
    <n v="1"/>
    <x v="0"/>
    <n v="2123.81"/>
    <x v="2"/>
  </r>
  <r>
    <x v="181"/>
    <s v="Emily Clark"/>
    <n v="56"/>
    <x v="1"/>
    <x v="162"/>
    <x v="160"/>
    <n v="13"/>
    <x v="4"/>
    <x v="14"/>
    <n v="29767.07"/>
    <n v="0.8"/>
    <x v="1"/>
    <n v="0"/>
    <x v="0"/>
  </r>
  <r>
    <x v="182"/>
    <s v="David White"/>
    <n v="8"/>
    <x v="0"/>
    <x v="163"/>
    <x v="161"/>
    <n v="5"/>
    <x v="3"/>
    <x v="22"/>
    <n v="5537.93"/>
    <n v="0.9"/>
    <x v="0"/>
    <n v="5537.93"/>
    <x v="4"/>
  </r>
  <r>
    <x v="183"/>
    <s v="Joshua Garcia"/>
    <n v="77"/>
    <x v="0"/>
    <x v="164"/>
    <x v="162"/>
    <n v="6"/>
    <x v="2"/>
    <x v="5"/>
    <n v="7949.08"/>
    <n v="0.6"/>
    <x v="0"/>
    <n v="7949.08"/>
    <x v="1"/>
  </r>
  <r>
    <x v="184"/>
    <s v="Robert Lewis"/>
    <n v="3"/>
    <x v="0"/>
    <x v="165"/>
    <x v="18"/>
    <n v="4"/>
    <x v="3"/>
    <x v="24"/>
    <n v="6607.88"/>
    <n v="0.7"/>
    <x v="0"/>
    <n v="6607.88"/>
    <x v="4"/>
  </r>
  <r>
    <x v="185"/>
    <s v="Susan Thomas"/>
    <n v="12"/>
    <x v="1"/>
    <x v="166"/>
    <x v="163"/>
    <n v="3"/>
    <x v="3"/>
    <x v="23"/>
    <n v="4728.71"/>
    <n v="0.5"/>
    <x v="0"/>
    <n v="4728.71"/>
    <x v="4"/>
  </r>
  <r>
    <x v="186"/>
    <s v="Barbara White"/>
    <n v="83"/>
    <x v="1"/>
    <x v="167"/>
    <x v="119"/>
    <n v="8"/>
    <x v="0"/>
    <x v="1"/>
    <n v="15664.73"/>
    <n v="0.8"/>
    <x v="0"/>
    <n v="15664.73"/>
    <x v="1"/>
  </r>
  <r>
    <x v="187"/>
    <s v="Betty Clark"/>
    <n v="53"/>
    <x v="1"/>
    <x v="168"/>
    <x v="38"/>
    <n v="4"/>
    <x v="2"/>
    <x v="33"/>
    <n v="2716.52"/>
    <n v="0"/>
    <x v="2"/>
    <n v="0"/>
    <x v="0"/>
  </r>
  <r>
    <x v="188"/>
    <s v="Susan Miller"/>
    <n v="29"/>
    <x v="1"/>
    <x v="38"/>
    <x v="164"/>
    <n v="1"/>
    <x v="2"/>
    <x v="21"/>
    <n v="716.18"/>
    <n v="0.8"/>
    <x v="0"/>
    <n v="716.18"/>
    <x v="2"/>
  </r>
  <r>
    <x v="189"/>
    <s v="Jennifer Young"/>
    <n v="49"/>
    <x v="1"/>
    <x v="169"/>
    <x v="165"/>
    <n v="3"/>
    <x v="5"/>
    <x v="28"/>
    <n v="3478.78"/>
    <n v="0.8"/>
    <x v="0"/>
    <n v="3478.78"/>
    <x v="3"/>
  </r>
  <r>
    <x v="190"/>
    <s v="Mary Miller"/>
    <n v="48"/>
    <x v="1"/>
    <x v="40"/>
    <x v="166"/>
    <n v="6"/>
    <x v="2"/>
    <x v="10"/>
    <n v="3693.12"/>
    <n v="1"/>
    <x v="1"/>
    <n v="0"/>
    <x v="3"/>
  </r>
  <r>
    <x v="191"/>
    <s v="Barbara Garcia"/>
    <n v="80"/>
    <x v="1"/>
    <x v="170"/>
    <x v="167"/>
    <n v="1"/>
    <x v="2"/>
    <x v="21"/>
    <n v="1441.21"/>
    <n v="0"/>
    <x v="0"/>
    <n v="1441.21"/>
    <x v="1"/>
  </r>
  <r>
    <x v="192"/>
    <s v="Lisa Clark"/>
    <n v="52"/>
    <x v="1"/>
    <x v="171"/>
    <x v="168"/>
    <n v="6"/>
    <x v="2"/>
    <x v="21"/>
    <n v="8378.4500000000007"/>
    <n v="0.7"/>
    <x v="1"/>
    <n v="0"/>
    <x v="0"/>
  </r>
  <r>
    <x v="193"/>
    <s v="Dorothy White"/>
    <n v="77"/>
    <x v="1"/>
    <x v="172"/>
    <x v="169"/>
    <n v="10"/>
    <x v="0"/>
    <x v="0"/>
    <n v="16501.419999999998"/>
    <n v="0.5"/>
    <x v="0"/>
    <n v="16501.419999999998"/>
    <x v="1"/>
  </r>
  <r>
    <x v="194"/>
    <s v="Linda Jackson"/>
    <n v="53"/>
    <x v="1"/>
    <x v="32"/>
    <x v="170"/>
    <n v="9"/>
    <x v="0"/>
    <x v="19"/>
    <n v="18430.509999999998"/>
    <n v="1"/>
    <x v="0"/>
    <n v="18430.509999999998"/>
    <x v="0"/>
  </r>
  <r>
    <x v="195"/>
    <s v="Anthony Thompson"/>
    <n v="42"/>
    <x v="0"/>
    <x v="173"/>
    <x v="171"/>
    <n v="3"/>
    <x v="2"/>
    <x v="16"/>
    <n v="1567.15"/>
    <n v="0.8"/>
    <x v="2"/>
    <n v="0"/>
    <x v="3"/>
  </r>
  <r>
    <x v="196"/>
    <s v="Michelle Perez"/>
    <n v="61"/>
    <x v="1"/>
    <x v="47"/>
    <x v="139"/>
    <n v="1"/>
    <x v="1"/>
    <x v="7"/>
    <n v="917.44"/>
    <n v="0.8"/>
    <x v="0"/>
    <n v="917.44"/>
    <x v="0"/>
  </r>
  <r>
    <x v="197"/>
    <s v="Nancy Harris"/>
    <n v="81"/>
    <x v="1"/>
    <x v="174"/>
    <x v="172"/>
    <n v="9"/>
    <x v="0"/>
    <x v="19"/>
    <n v="18345.38"/>
    <n v="0.8"/>
    <x v="1"/>
    <n v="0"/>
    <x v="1"/>
  </r>
  <r>
    <x v="198"/>
    <s v="Ashley Moore"/>
    <n v="53"/>
    <x v="1"/>
    <x v="175"/>
    <x v="173"/>
    <n v="9"/>
    <x v="5"/>
    <x v="12"/>
    <n v="19211.240000000002"/>
    <n v="0.9"/>
    <x v="0"/>
    <n v="19211.240000000002"/>
    <x v="0"/>
  </r>
  <r>
    <x v="199"/>
    <s v="Joshua Rodriguez"/>
    <n v="48"/>
    <x v="0"/>
    <x v="176"/>
    <x v="174"/>
    <n v="4"/>
    <x v="0"/>
    <x v="1"/>
    <n v="10336.58"/>
    <n v="1"/>
    <x v="0"/>
    <n v="10336.58"/>
    <x v="3"/>
  </r>
  <r>
    <x v="200"/>
    <s v="Lisa Martin"/>
    <n v="64"/>
    <x v="1"/>
    <x v="177"/>
    <x v="175"/>
    <n v="7"/>
    <x v="2"/>
    <x v="33"/>
    <n v="4926.12"/>
    <n v="0.7"/>
    <x v="1"/>
    <n v="0"/>
    <x v="0"/>
  </r>
  <r>
    <x v="201"/>
    <s v="Susan Davis"/>
    <n v="80"/>
    <x v="1"/>
    <x v="178"/>
    <x v="176"/>
    <n v="6"/>
    <x v="5"/>
    <x v="35"/>
    <n v="13102.72"/>
    <n v="0.5"/>
    <x v="1"/>
    <n v="0"/>
    <x v="1"/>
  </r>
  <r>
    <x v="202"/>
    <s v="Anthony Anderson"/>
    <n v="56"/>
    <x v="0"/>
    <x v="179"/>
    <x v="177"/>
    <n v="7"/>
    <x v="2"/>
    <x v="5"/>
    <n v="4595.79"/>
    <n v="0.8"/>
    <x v="0"/>
    <n v="4595.79"/>
    <x v="0"/>
  </r>
  <r>
    <x v="203"/>
    <s v="Kenneth Jones"/>
    <n v="63"/>
    <x v="0"/>
    <x v="118"/>
    <x v="178"/>
    <n v="3"/>
    <x v="1"/>
    <x v="31"/>
    <n v="3717.61"/>
    <n v="0.9"/>
    <x v="1"/>
    <n v="0"/>
    <x v="0"/>
  </r>
  <r>
    <x v="204"/>
    <s v="Daniel Young"/>
    <n v="43"/>
    <x v="0"/>
    <x v="180"/>
    <x v="179"/>
    <n v="13"/>
    <x v="4"/>
    <x v="18"/>
    <n v="33810.44"/>
    <n v="0.9"/>
    <x v="0"/>
    <n v="33810.44"/>
    <x v="3"/>
  </r>
  <r>
    <x v="205"/>
    <s v="Betty Williams"/>
    <n v="8"/>
    <x v="1"/>
    <x v="181"/>
    <x v="180"/>
    <n v="4"/>
    <x v="3"/>
    <x v="22"/>
    <n v="4115.83"/>
    <n v="0.5"/>
    <x v="0"/>
    <n v="4115.83"/>
    <x v="4"/>
  </r>
  <r>
    <x v="206"/>
    <s v="Ashley Brown"/>
    <n v="56"/>
    <x v="1"/>
    <x v="70"/>
    <x v="181"/>
    <n v="6"/>
    <x v="2"/>
    <x v="5"/>
    <n v="8245.4599999999991"/>
    <n v="0.5"/>
    <x v="2"/>
    <n v="0"/>
    <x v="0"/>
  </r>
  <r>
    <x v="207"/>
    <s v="Anthony Rodriguez"/>
    <n v="11"/>
    <x v="0"/>
    <x v="182"/>
    <x v="24"/>
    <n v="5"/>
    <x v="3"/>
    <x v="9"/>
    <n v="7654.55"/>
    <n v="1"/>
    <x v="0"/>
    <n v="7654.55"/>
    <x v="4"/>
  </r>
  <r>
    <x v="208"/>
    <s v="Joshua Moore"/>
    <n v="52"/>
    <x v="0"/>
    <x v="24"/>
    <x v="182"/>
    <n v="4"/>
    <x v="5"/>
    <x v="28"/>
    <n v="7167.44"/>
    <n v="0.8"/>
    <x v="0"/>
    <n v="7167.44"/>
    <x v="0"/>
  </r>
  <r>
    <x v="209"/>
    <s v="Barbara Young"/>
    <n v="53"/>
    <x v="1"/>
    <x v="183"/>
    <x v="183"/>
    <n v="2"/>
    <x v="1"/>
    <x v="2"/>
    <n v="2556.12"/>
    <n v="0.8"/>
    <x v="0"/>
    <n v="2556.12"/>
    <x v="0"/>
  </r>
  <r>
    <x v="210"/>
    <s v="Christopher White"/>
    <n v="3"/>
    <x v="0"/>
    <x v="184"/>
    <x v="184"/>
    <n v="3"/>
    <x v="3"/>
    <x v="24"/>
    <n v="3139.43"/>
    <n v="0.8"/>
    <x v="0"/>
    <n v="3139.43"/>
    <x v="4"/>
  </r>
  <r>
    <x v="211"/>
    <s v="William Perez"/>
    <n v="84"/>
    <x v="0"/>
    <x v="63"/>
    <x v="185"/>
    <n v="1"/>
    <x v="1"/>
    <x v="2"/>
    <n v="1893.98"/>
    <n v="0.9"/>
    <x v="0"/>
    <n v="1893.98"/>
    <x v="1"/>
  </r>
  <r>
    <x v="212"/>
    <s v="Emily Clark"/>
    <n v="32"/>
    <x v="1"/>
    <x v="185"/>
    <x v="186"/>
    <n v="6"/>
    <x v="5"/>
    <x v="28"/>
    <n v="11663.48"/>
    <n v="0"/>
    <x v="1"/>
    <n v="0"/>
    <x v="2"/>
  </r>
  <r>
    <x v="213"/>
    <s v="Mary Taylor"/>
    <n v="39"/>
    <x v="1"/>
    <x v="186"/>
    <x v="187"/>
    <n v="3"/>
    <x v="2"/>
    <x v="21"/>
    <n v="1596.88"/>
    <n v="0.5"/>
    <x v="2"/>
    <n v="0"/>
    <x v="3"/>
  </r>
  <r>
    <x v="214"/>
    <s v="Michelle Garcia"/>
    <n v="49"/>
    <x v="1"/>
    <x v="187"/>
    <x v="188"/>
    <n v="5"/>
    <x v="2"/>
    <x v="8"/>
    <n v="4111.79"/>
    <n v="0.8"/>
    <x v="0"/>
    <n v="4111.79"/>
    <x v="3"/>
  </r>
  <r>
    <x v="215"/>
    <s v="Michael Perez"/>
    <n v="28"/>
    <x v="0"/>
    <x v="188"/>
    <x v="23"/>
    <n v="3"/>
    <x v="1"/>
    <x v="2"/>
    <n v="6606.32"/>
    <n v="0.8"/>
    <x v="0"/>
    <n v="6606.32"/>
    <x v="2"/>
  </r>
  <r>
    <x v="216"/>
    <s v="Carol White"/>
    <n v="53"/>
    <x v="1"/>
    <x v="186"/>
    <x v="171"/>
    <n v="12"/>
    <x v="5"/>
    <x v="35"/>
    <n v="31197"/>
    <n v="0.8"/>
    <x v="1"/>
    <n v="0"/>
    <x v="0"/>
  </r>
  <r>
    <x v="217"/>
    <s v="Christopher Perez"/>
    <n v="46"/>
    <x v="0"/>
    <x v="189"/>
    <x v="189"/>
    <n v="10"/>
    <x v="0"/>
    <x v="1"/>
    <n v="23891.3"/>
    <n v="0.9"/>
    <x v="0"/>
    <n v="23891.3"/>
    <x v="3"/>
  </r>
  <r>
    <x v="218"/>
    <s v="David Moore"/>
    <n v="66"/>
    <x v="0"/>
    <x v="190"/>
    <x v="190"/>
    <n v="10"/>
    <x v="0"/>
    <x v="20"/>
    <n v="18293.13"/>
    <n v="0.6"/>
    <x v="2"/>
    <n v="0"/>
    <x v="1"/>
  </r>
  <r>
    <x v="219"/>
    <s v="Emily Walker"/>
    <n v="28"/>
    <x v="1"/>
    <x v="13"/>
    <x v="191"/>
    <n v="3"/>
    <x v="1"/>
    <x v="31"/>
    <n v="7364.68"/>
    <n v="0.7"/>
    <x v="1"/>
    <n v="0"/>
    <x v="2"/>
  </r>
  <r>
    <x v="220"/>
    <s v="Jessica Jackson"/>
    <n v="3"/>
    <x v="1"/>
    <x v="141"/>
    <x v="192"/>
    <n v="2"/>
    <x v="3"/>
    <x v="9"/>
    <n v="2403.02"/>
    <n v="0.8"/>
    <x v="0"/>
    <n v="2403.02"/>
    <x v="4"/>
  </r>
  <r>
    <x v="221"/>
    <s v="Thomas Miller"/>
    <n v="68"/>
    <x v="0"/>
    <x v="191"/>
    <x v="193"/>
    <n v="10"/>
    <x v="5"/>
    <x v="17"/>
    <n v="22054.65"/>
    <n v="0.8"/>
    <x v="1"/>
    <n v="0"/>
    <x v="1"/>
  </r>
  <r>
    <x v="222"/>
    <s v="Kevin Taylor"/>
    <n v="40"/>
    <x v="0"/>
    <x v="66"/>
    <x v="194"/>
    <n v="5"/>
    <x v="2"/>
    <x v="8"/>
    <n v="6331.28"/>
    <n v="0.8"/>
    <x v="2"/>
    <n v="0"/>
    <x v="3"/>
  </r>
  <r>
    <x v="223"/>
    <s v="Richard Robinson"/>
    <n v="63"/>
    <x v="0"/>
    <x v="192"/>
    <x v="195"/>
    <n v="10"/>
    <x v="0"/>
    <x v="29"/>
    <n v="27345.03"/>
    <n v="1"/>
    <x v="1"/>
    <n v="0"/>
    <x v="0"/>
  </r>
  <r>
    <x v="224"/>
    <s v="Michelle Martinez"/>
    <n v="44"/>
    <x v="1"/>
    <x v="130"/>
    <x v="196"/>
    <n v="8"/>
    <x v="4"/>
    <x v="11"/>
    <n v="11435.94"/>
    <n v="0.9"/>
    <x v="0"/>
    <n v="11435.94"/>
    <x v="3"/>
  </r>
  <r>
    <x v="225"/>
    <s v="William Young"/>
    <n v="70"/>
    <x v="0"/>
    <x v="193"/>
    <x v="197"/>
    <n v="1"/>
    <x v="1"/>
    <x v="36"/>
    <n v="859.95"/>
    <n v="0.6"/>
    <x v="1"/>
    <n v="0"/>
    <x v="1"/>
  </r>
  <r>
    <x v="226"/>
    <s v="Richard Smith"/>
    <n v="1"/>
    <x v="0"/>
    <x v="137"/>
    <x v="138"/>
    <n v="3"/>
    <x v="3"/>
    <x v="23"/>
    <n v="2590.21"/>
    <n v="0.9"/>
    <x v="1"/>
    <n v="0"/>
    <x v="4"/>
  </r>
  <r>
    <x v="227"/>
    <s v="Betty Thompson"/>
    <n v="48"/>
    <x v="1"/>
    <x v="194"/>
    <x v="198"/>
    <n v="1"/>
    <x v="2"/>
    <x v="8"/>
    <n v="791.92"/>
    <n v="0.5"/>
    <x v="2"/>
    <n v="0"/>
    <x v="3"/>
  </r>
  <r>
    <x v="228"/>
    <s v="Jessica Young"/>
    <n v="48"/>
    <x v="1"/>
    <x v="144"/>
    <x v="199"/>
    <n v="3"/>
    <x v="1"/>
    <x v="32"/>
    <n v="3524.43"/>
    <n v="0.8"/>
    <x v="0"/>
    <n v="3524.43"/>
    <x v="3"/>
  </r>
  <r>
    <x v="229"/>
    <s v="Joshua Taylor"/>
    <n v="43"/>
    <x v="0"/>
    <x v="195"/>
    <x v="200"/>
    <n v="2"/>
    <x v="4"/>
    <x v="18"/>
    <n v="4464.59"/>
    <n v="0"/>
    <x v="2"/>
    <n v="0"/>
    <x v="3"/>
  </r>
  <r>
    <x v="230"/>
    <s v="Karen Robinson"/>
    <n v="24"/>
    <x v="1"/>
    <x v="23"/>
    <x v="31"/>
    <n v="3"/>
    <x v="1"/>
    <x v="36"/>
    <n v="4867.6099999999997"/>
    <n v="0.7"/>
    <x v="0"/>
    <n v="4867.6099999999997"/>
    <x v="2"/>
  </r>
  <r>
    <x v="231"/>
    <s v="Daniel Harris"/>
    <n v="41"/>
    <x v="0"/>
    <x v="196"/>
    <x v="201"/>
    <n v="4"/>
    <x v="0"/>
    <x v="29"/>
    <n v="5584.74"/>
    <n v="1"/>
    <x v="0"/>
    <n v="5584.74"/>
    <x v="3"/>
  </r>
  <r>
    <x v="232"/>
    <s v="Sarah Perez"/>
    <n v="51"/>
    <x v="1"/>
    <x v="55"/>
    <x v="202"/>
    <n v="2"/>
    <x v="1"/>
    <x v="2"/>
    <n v="4718.74"/>
    <n v="0.8"/>
    <x v="1"/>
    <n v="0"/>
    <x v="0"/>
  </r>
  <r>
    <x v="233"/>
    <s v="Joseph Robinson"/>
    <n v="10"/>
    <x v="0"/>
    <x v="197"/>
    <x v="203"/>
    <n v="1"/>
    <x v="3"/>
    <x v="37"/>
    <n v="1605.56"/>
    <n v="0.8"/>
    <x v="1"/>
    <n v="0"/>
    <x v="4"/>
  </r>
  <r>
    <x v="234"/>
    <s v="Kenneth Anderson"/>
    <n v="75"/>
    <x v="0"/>
    <x v="198"/>
    <x v="204"/>
    <n v="1"/>
    <x v="2"/>
    <x v="5"/>
    <n v="1383.31"/>
    <n v="0.9"/>
    <x v="0"/>
    <n v="1383.31"/>
    <x v="1"/>
  </r>
  <r>
    <x v="235"/>
    <s v="Ashley Williams"/>
    <n v="50"/>
    <x v="1"/>
    <x v="199"/>
    <x v="75"/>
    <n v="8"/>
    <x v="0"/>
    <x v="20"/>
    <n v="19135.11"/>
    <n v="0.8"/>
    <x v="0"/>
    <n v="19135.11"/>
    <x v="3"/>
  </r>
  <r>
    <x v="236"/>
    <s v="Dorothy Taylor"/>
    <n v="46"/>
    <x v="1"/>
    <x v="200"/>
    <x v="205"/>
    <n v="4"/>
    <x v="4"/>
    <x v="14"/>
    <n v="9234.25"/>
    <n v="0.7"/>
    <x v="1"/>
    <n v="0"/>
    <x v="3"/>
  </r>
  <r>
    <x v="237"/>
    <s v="William Williams"/>
    <n v="83"/>
    <x v="0"/>
    <x v="201"/>
    <x v="206"/>
    <n v="5"/>
    <x v="0"/>
    <x v="20"/>
    <n v="7388.36"/>
    <n v="0.9"/>
    <x v="0"/>
    <n v="7388.36"/>
    <x v="1"/>
  </r>
  <r>
    <x v="238"/>
    <s v="Ashley Thomas"/>
    <n v="17"/>
    <x v="1"/>
    <x v="126"/>
    <x v="207"/>
    <n v="3"/>
    <x v="3"/>
    <x v="24"/>
    <n v="2080.9499999999998"/>
    <n v="1"/>
    <x v="2"/>
    <n v="0"/>
    <x v="4"/>
  </r>
  <r>
    <x v="239"/>
    <s v="Richard Young"/>
    <n v="70"/>
    <x v="0"/>
    <x v="202"/>
    <x v="159"/>
    <n v="2"/>
    <x v="4"/>
    <x v="26"/>
    <n v="5457.97"/>
    <n v="0.8"/>
    <x v="0"/>
    <n v="5457.97"/>
    <x v="1"/>
  </r>
  <r>
    <x v="240"/>
    <s v="Donna Jones"/>
    <n v="42"/>
    <x v="1"/>
    <x v="203"/>
    <x v="152"/>
    <n v="12"/>
    <x v="4"/>
    <x v="13"/>
    <n v="15047.59"/>
    <n v="0.8"/>
    <x v="0"/>
    <n v="15047.59"/>
    <x v="3"/>
  </r>
  <r>
    <x v="241"/>
    <s v="Susan Brown"/>
    <n v="16"/>
    <x v="1"/>
    <x v="100"/>
    <x v="105"/>
    <n v="2"/>
    <x v="3"/>
    <x v="37"/>
    <n v="2737.97"/>
    <n v="0.9"/>
    <x v="0"/>
    <n v="2737.97"/>
    <x v="4"/>
  </r>
  <r>
    <x v="242"/>
    <s v="Thomas Miller"/>
    <n v="58"/>
    <x v="0"/>
    <x v="204"/>
    <x v="180"/>
    <n v="14"/>
    <x v="4"/>
    <x v="13"/>
    <n v="19026.97"/>
    <n v="0.8"/>
    <x v="1"/>
    <n v="0"/>
    <x v="0"/>
  </r>
  <r>
    <x v="243"/>
    <s v="Matthew Clark"/>
    <n v="35"/>
    <x v="0"/>
    <x v="74"/>
    <x v="148"/>
    <n v="3"/>
    <x v="1"/>
    <x v="31"/>
    <n v="4955.5"/>
    <n v="0.9"/>
    <x v="1"/>
    <n v="0"/>
    <x v="2"/>
  </r>
  <r>
    <x v="244"/>
    <s v="Karen Ramirez"/>
    <n v="58"/>
    <x v="1"/>
    <x v="205"/>
    <x v="28"/>
    <n v="2"/>
    <x v="1"/>
    <x v="36"/>
    <n v="4048.56"/>
    <n v="0.8"/>
    <x v="1"/>
    <n v="0"/>
    <x v="0"/>
  </r>
  <r>
    <x v="245"/>
    <s v="Joseph Perez"/>
    <n v="47"/>
    <x v="0"/>
    <x v="206"/>
    <x v="208"/>
    <n v="6"/>
    <x v="2"/>
    <x v="33"/>
    <n v="6918.6"/>
    <n v="0.8"/>
    <x v="0"/>
    <n v="6918.6"/>
    <x v="3"/>
  </r>
  <r>
    <x v="246"/>
    <s v="Elizabeth Jackson"/>
    <n v="8"/>
    <x v="1"/>
    <x v="204"/>
    <x v="209"/>
    <n v="3"/>
    <x v="3"/>
    <x v="23"/>
    <n v="3846.88"/>
    <n v="0.8"/>
    <x v="0"/>
    <n v="3846.88"/>
    <x v="4"/>
  </r>
  <r>
    <x v="247"/>
    <s v="Carol Taylor"/>
    <n v="65"/>
    <x v="1"/>
    <x v="57"/>
    <x v="135"/>
    <n v="4"/>
    <x v="2"/>
    <x v="21"/>
    <n v="3019.93"/>
    <n v="0.7"/>
    <x v="2"/>
    <n v="0"/>
    <x v="0"/>
  </r>
  <r>
    <x v="248"/>
    <s v="Robert Walker"/>
    <n v="4"/>
    <x v="0"/>
    <x v="207"/>
    <x v="178"/>
    <n v="4"/>
    <x v="3"/>
    <x v="25"/>
    <n v="3543.7"/>
    <n v="0.9"/>
    <x v="1"/>
    <n v="0"/>
    <x v="4"/>
  </r>
  <r>
    <x v="249"/>
    <s v="Joshua Martin"/>
    <n v="55"/>
    <x v="0"/>
    <x v="208"/>
    <x v="210"/>
    <n v="2"/>
    <x v="4"/>
    <x v="27"/>
    <n v="2354.4899999999998"/>
    <n v="0.6"/>
    <x v="2"/>
    <n v="0"/>
    <x v="0"/>
  </r>
  <r>
    <x v="250"/>
    <s v="Ashley Thomas"/>
    <n v="47"/>
    <x v="1"/>
    <x v="209"/>
    <x v="211"/>
    <n v="3"/>
    <x v="1"/>
    <x v="2"/>
    <n v="4854.92"/>
    <n v="0.7"/>
    <x v="2"/>
    <n v="0"/>
    <x v="3"/>
  </r>
  <r>
    <x v="251"/>
    <s v="Sandra Moore"/>
    <n v="7"/>
    <x v="1"/>
    <x v="107"/>
    <x v="212"/>
    <n v="2"/>
    <x v="3"/>
    <x v="37"/>
    <n v="2341.4499999999998"/>
    <n v="0.9"/>
    <x v="1"/>
    <n v="0"/>
    <x v="4"/>
  </r>
  <r>
    <x v="252"/>
    <s v="Andrew Walker"/>
    <n v="8"/>
    <x v="0"/>
    <x v="111"/>
    <x v="114"/>
    <n v="5"/>
    <x v="3"/>
    <x v="24"/>
    <n v="6634.75"/>
    <n v="1"/>
    <x v="1"/>
    <n v="0"/>
    <x v="4"/>
  </r>
  <r>
    <x v="253"/>
    <s v="Linda Hernandez"/>
    <n v="11"/>
    <x v="1"/>
    <x v="210"/>
    <x v="213"/>
    <n v="3"/>
    <x v="3"/>
    <x v="23"/>
    <n v="2307.54"/>
    <n v="0.7"/>
    <x v="1"/>
    <n v="0"/>
    <x v="4"/>
  </r>
  <r>
    <x v="254"/>
    <s v="Mark Clark"/>
    <n v="29"/>
    <x v="0"/>
    <x v="211"/>
    <x v="157"/>
    <n v="5"/>
    <x v="2"/>
    <x v="10"/>
    <n v="6481.41"/>
    <n v="0.6"/>
    <x v="2"/>
    <n v="0"/>
    <x v="2"/>
  </r>
  <r>
    <x v="255"/>
    <s v="Brian Wilson"/>
    <n v="43"/>
    <x v="0"/>
    <x v="101"/>
    <x v="214"/>
    <n v="9"/>
    <x v="0"/>
    <x v="6"/>
    <n v="14839.54"/>
    <n v="0.7"/>
    <x v="2"/>
    <n v="0"/>
    <x v="3"/>
  </r>
  <r>
    <x v="256"/>
    <s v="Emily Thomas"/>
    <n v="31"/>
    <x v="1"/>
    <x v="212"/>
    <x v="215"/>
    <n v="5"/>
    <x v="5"/>
    <x v="17"/>
    <n v="8724.32"/>
    <n v="0.8"/>
    <x v="1"/>
    <n v="0"/>
    <x v="2"/>
  </r>
  <r>
    <x v="257"/>
    <s v="Sandra Brown"/>
    <n v="74"/>
    <x v="1"/>
    <x v="213"/>
    <x v="93"/>
    <n v="6"/>
    <x v="2"/>
    <x v="4"/>
    <n v="8724.0499999999993"/>
    <n v="0.5"/>
    <x v="1"/>
    <n v="0"/>
    <x v="1"/>
  </r>
  <r>
    <x v="258"/>
    <s v="Dorothy Harris"/>
    <n v="60"/>
    <x v="1"/>
    <x v="214"/>
    <x v="216"/>
    <n v="7"/>
    <x v="0"/>
    <x v="29"/>
    <n v="12277.2"/>
    <n v="1"/>
    <x v="0"/>
    <n v="12277.2"/>
    <x v="0"/>
  </r>
  <r>
    <x v="259"/>
    <s v="Ashley Rodriguez"/>
    <n v="82"/>
    <x v="1"/>
    <x v="126"/>
    <x v="207"/>
    <n v="3"/>
    <x v="1"/>
    <x v="2"/>
    <n v="7304.79"/>
    <n v="0.9"/>
    <x v="0"/>
    <n v="7304.79"/>
    <x v="1"/>
  </r>
  <r>
    <x v="260"/>
    <s v="Dorothy Ramirez"/>
    <n v="44"/>
    <x v="1"/>
    <x v="27"/>
    <x v="217"/>
    <n v="3"/>
    <x v="1"/>
    <x v="7"/>
    <n v="4042.99"/>
    <n v="1"/>
    <x v="2"/>
    <n v="0"/>
    <x v="3"/>
  </r>
  <r>
    <x v="261"/>
    <s v="David Rodriguez"/>
    <n v="25"/>
    <x v="0"/>
    <x v="215"/>
    <x v="218"/>
    <n v="3"/>
    <x v="2"/>
    <x v="16"/>
    <n v="2452.73"/>
    <n v="0"/>
    <x v="2"/>
    <n v="0"/>
    <x v="2"/>
  </r>
  <r>
    <x v="262"/>
    <s v="Karen Harris"/>
    <n v="15"/>
    <x v="1"/>
    <x v="216"/>
    <x v="14"/>
    <n v="2"/>
    <x v="3"/>
    <x v="25"/>
    <n v="1535.75"/>
    <n v="0.9"/>
    <x v="0"/>
    <n v="1535.75"/>
    <x v="4"/>
  </r>
  <r>
    <x v="263"/>
    <s v="Michelle Wilson"/>
    <n v="39"/>
    <x v="1"/>
    <x v="217"/>
    <x v="123"/>
    <n v="1"/>
    <x v="2"/>
    <x v="21"/>
    <n v="600.19000000000005"/>
    <n v="1"/>
    <x v="0"/>
    <n v="600.19000000000005"/>
    <x v="3"/>
  </r>
  <r>
    <x v="264"/>
    <s v="Emily Young"/>
    <n v="73"/>
    <x v="1"/>
    <x v="218"/>
    <x v="89"/>
    <n v="2"/>
    <x v="1"/>
    <x v="15"/>
    <n v="2662.2"/>
    <n v="1"/>
    <x v="0"/>
    <n v="2662.2"/>
    <x v="1"/>
  </r>
  <r>
    <x v="265"/>
    <s v="William Clark"/>
    <n v="58"/>
    <x v="0"/>
    <x v="210"/>
    <x v="213"/>
    <n v="3"/>
    <x v="1"/>
    <x v="2"/>
    <n v="2947.4"/>
    <n v="0.9"/>
    <x v="0"/>
    <n v="2947.4"/>
    <x v="0"/>
  </r>
  <r>
    <x v="266"/>
    <s v="James Hernandez"/>
    <n v="58"/>
    <x v="0"/>
    <x v="219"/>
    <x v="219"/>
    <n v="3"/>
    <x v="4"/>
    <x v="26"/>
    <n v="6487.43"/>
    <n v="0.8"/>
    <x v="0"/>
    <n v="6487.43"/>
    <x v="0"/>
  </r>
  <r>
    <x v="267"/>
    <s v="Elizabeth White"/>
    <n v="78"/>
    <x v="1"/>
    <x v="220"/>
    <x v="220"/>
    <n v="4"/>
    <x v="0"/>
    <x v="29"/>
    <n v="5274.8"/>
    <n v="0.8"/>
    <x v="0"/>
    <n v="5274.8"/>
    <x v="1"/>
  </r>
  <r>
    <x v="268"/>
    <s v="Matthew Martin"/>
    <n v="56"/>
    <x v="0"/>
    <x v="221"/>
    <x v="221"/>
    <n v="6"/>
    <x v="0"/>
    <x v="0"/>
    <n v="17770.45"/>
    <n v="1"/>
    <x v="0"/>
    <n v="17770.45"/>
    <x v="0"/>
  </r>
  <r>
    <x v="269"/>
    <s v="Nancy Garcia"/>
    <n v="50"/>
    <x v="1"/>
    <x v="77"/>
    <x v="172"/>
    <n v="14"/>
    <x v="4"/>
    <x v="26"/>
    <n v="38493.53"/>
    <n v="0"/>
    <x v="0"/>
    <n v="38493.53"/>
    <x v="3"/>
  </r>
  <r>
    <x v="270"/>
    <s v="Betty Anderson"/>
    <n v="71"/>
    <x v="1"/>
    <x v="222"/>
    <x v="222"/>
    <n v="3"/>
    <x v="2"/>
    <x v="4"/>
    <n v="3136.05"/>
    <n v="0.9"/>
    <x v="0"/>
    <n v="3136.05"/>
    <x v="1"/>
  </r>
  <r>
    <x v="271"/>
    <s v="Emily Moore"/>
    <n v="41"/>
    <x v="1"/>
    <x v="223"/>
    <x v="223"/>
    <n v="10"/>
    <x v="0"/>
    <x v="19"/>
    <n v="28492.22"/>
    <n v="0.9"/>
    <x v="0"/>
    <n v="28492.22"/>
    <x v="3"/>
  </r>
  <r>
    <x v="272"/>
    <s v="Mark Martinez"/>
    <n v="47"/>
    <x v="0"/>
    <x v="177"/>
    <x v="224"/>
    <n v="8"/>
    <x v="0"/>
    <x v="20"/>
    <n v="11794.68"/>
    <n v="0.7"/>
    <x v="2"/>
    <n v="0"/>
    <x v="3"/>
  </r>
  <r>
    <x v="273"/>
    <s v="Elizabeth Lewis"/>
    <n v="16"/>
    <x v="1"/>
    <x v="224"/>
    <x v="225"/>
    <n v="4"/>
    <x v="3"/>
    <x v="24"/>
    <n v="5980.76"/>
    <n v="0.8"/>
    <x v="0"/>
    <n v="5980.76"/>
    <x v="4"/>
  </r>
  <r>
    <x v="274"/>
    <s v="Lisa Rodriguez"/>
    <n v="56"/>
    <x v="1"/>
    <x v="103"/>
    <x v="226"/>
    <n v="11"/>
    <x v="5"/>
    <x v="35"/>
    <n v="16835.150000000001"/>
    <n v="1"/>
    <x v="0"/>
    <n v="16835.150000000001"/>
    <x v="0"/>
  </r>
  <r>
    <x v="275"/>
    <s v="Elizabeth Walker"/>
    <n v="69"/>
    <x v="1"/>
    <x v="225"/>
    <x v="227"/>
    <n v="4"/>
    <x v="2"/>
    <x v="21"/>
    <n v="2837.18"/>
    <n v="1"/>
    <x v="2"/>
    <n v="0"/>
    <x v="1"/>
  </r>
  <r>
    <x v="276"/>
    <s v="Kimberly White"/>
    <n v="39"/>
    <x v="1"/>
    <x v="80"/>
    <x v="102"/>
    <n v="7"/>
    <x v="2"/>
    <x v="5"/>
    <n v="5652.05"/>
    <n v="0"/>
    <x v="1"/>
    <n v="0"/>
    <x v="3"/>
  </r>
  <r>
    <x v="277"/>
    <s v="Michelle Hernandez"/>
    <n v="51"/>
    <x v="1"/>
    <x v="226"/>
    <x v="228"/>
    <n v="8"/>
    <x v="0"/>
    <x v="0"/>
    <n v="15284.52"/>
    <n v="0.9"/>
    <x v="0"/>
    <n v="15284.52"/>
    <x v="0"/>
  </r>
  <r>
    <x v="278"/>
    <s v="Michael Moore"/>
    <n v="22"/>
    <x v="0"/>
    <x v="126"/>
    <x v="128"/>
    <n v="5"/>
    <x v="2"/>
    <x v="8"/>
    <n v="6837.91"/>
    <n v="0.8"/>
    <x v="1"/>
    <n v="0"/>
    <x v="2"/>
  </r>
  <r>
    <x v="279"/>
    <s v="Emily Johnson"/>
    <n v="27"/>
    <x v="1"/>
    <x v="227"/>
    <x v="229"/>
    <n v="10"/>
    <x v="4"/>
    <x v="13"/>
    <n v="16726.009999999998"/>
    <n v="0.8"/>
    <x v="0"/>
    <n v="16726.009999999998"/>
    <x v="2"/>
  </r>
  <r>
    <x v="280"/>
    <s v="Karen Davis"/>
    <n v="85"/>
    <x v="1"/>
    <x v="228"/>
    <x v="171"/>
    <n v="6"/>
    <x v="0"/>
    <x v="20"/>
    <n v="17937.11"/>
    <n v="0.7"/>
    <x v="2"/>
    <n v="0"/>
    <x v="1"/>
  </r>
  <r>
    <x v="281"/>
    <s v="Anthony Wilson"/>
    <n v="33"/>
    <x v="0"/>
    <x v="111"/>
    <x v="95"/>
    <n v="14"/>
    <x v="4"/>
    <x v="27"/>
    <n v="27571.59"/>
    <n v="0.9"/>
    <x v="0"/>
    <n v="27571.59"/>
    <x v="2"/>
  </r>
  <r>
    <x v="282"/>
    <s v="Emily Moore"/>
    <n v="83"/>
    <x v="1"/>
    <x v="84"/>
    <x v="169"/>
    <n v="6"/>
    <x v="0"/>
    <x v="20"/>
    <n v="13621.44"/>
    <n v="0.7"/>
    <x v="2"/>
    <n v="0"/>
    <x v="1"/>
  </r>
  <r>
    <x v="283"/>
    <s v="Daniel Perez"/>
    <n v="54"/>
    <x v="0"/>
    <x v="229"/>
    <x v="195"/>
    <n v="5"/>
    <x v="5"/>
    <x v="35"/>
    <n v="7553.52"/>
    <n v="0.5"/>
    <x v="0"/>
    <n v="7553.52"/>
    <x v="0"/>
  </r>
  <r>
    <x v="284"/>
    <s v="Michelle Harris"/>
    <n v="53"/>
    <x v="1"/>
    <x v="88"/>
    <x v="230"/>
    <n v="13"/>
    <x v="4"/>
    <x v="26"/>
    <n v="34671.78"/>
    <n v="0.6"/>
    <x v="0"/>
    <n v="34671.78"/>
    <x v="0"/>
  </r>
  <r>
    <x v="285"/>
    <s v="Robert Johnson"/>
    <n v="81"/>
    <x v="0"/>
    <x v="230"/>
    <x v="231"/>
    <n v="5"/>
    <x v="0"/>
    <x v="20"/>
    <n v="13674.29"/>
    <n v="0.8"/>
    <x v="0"/>
    <n v="13674.29"/>
    <x v="1"/>
  </r>
  <r>
    <x v="286"/>
    <s v="Susan Harris"/>
    <n v="31"/>
    <x v="1"/>
    <x v="24"/>
    <x v="232"/>
    <n v="10"/>
    <x v="5"/>
    <x v="28"/>
    <n v="18872.25"/>
    <n v="1"/>
    <x v="0"/>
    <n v="18872.25"/>
    <x v="2"/>
  </r>
  <r>
    <x v="287"/>
    <s v="Mark Jones"/>
    <n v="22"/>
    <x v="0"/>
    <x v="231"/>
    <x v="233"/>
    <n v="6"/>
    <x v="2"/>
    <x v="8"/>
    <n v="8363.1"/>
    <n v="0.6"/>
    <x v="2"/>
    <n v="0"/>
    <x v="2"/>
  </r>
  <r>
    <x v="288"/>
    <s v="Thomas Young"/>
    <n v="1"/>
    <x v="0"/>
    <x v="191"/>
    <x v="234"/>
    <n v="3"/>
    <x v="3"/>
    <x v="23"/>
    <n v="3886.44"/>
    <n v="0.9"/>
    <x v="0"/>
    <n v="3886.44"/>
    <x v="4"/>
  </r>
  <r>
    <x v="289"/>
    <s v="Joshua Johnson"/>
    <n v="52"/>
    <x v="0"/>
    <x v="232"/>
    <x v="235"/>
    <n v="2"/>
    <x v="2"/>
    <x v="16"/>
    <n v="2780.94"/>
    <n v="0.8"/>
    <x v="0"/>
    <n v="2780.94"/>
    <x v="0"/>
  </r>
  <r>
    <x v="290"/>
    <s v="Joshua Clark"/>
    <n v="11"/>
    <x v="0"/>
    <x v="113"/>
    <x v="115"/>
    <n v="1"/>
    <x v="3"/>
    <x v="9"/>
    <n v="1277.56"/>
    <n v="0.7"/>
    <x v="1"/>
    <n v="0"/>
    <x v="4"/>
  </r>
  <r>
    <x v="291"/>
    <s v="Kimberly Rodriguez"/>
    <n v="6"/>
    <x v="1"/>
    <x v="233"/>
    <x v="236"/>
    <n v="3"/>
    <x v="3"/>
    <x v="25"/>
    <n v="2921.29"/>
    <n v="0.5"/>
    <x v="2"/>
    <n v="0"/>
    <x v="4"/>
  </r>
  <r>
    <x v="292"/>
    <s v="Nancy Johnson"/>
    <n v="74"/>
    <x v="1"/>
    <x v="234"/>
    <x v="237"/>
    <n v="3"/>
    <x v="1"/>
    <x v="3"/>
    <n v="4516.54"/>
    <n v="0.7"/>
    <x v="1"/>
    <n v="0"/>
    <x v="1"/>
  </r>
  <r>
    <x v="293"/>
    <s v="Michelle Martin"/>
    <n v="37"/>
    <x v="1"/>
    <x v="54"/>
    <x v="238"/>
    <n v="13"/>
    <x v="4"/>
    <x v="26"/>
    <n v="15943.22"/>
    <n v="0.8"/>
    <x v="0"/>
    <n v="15943.22"/>
    <x v="3"/>
  </r>
  <r>
    <x v="294"/>
    <s v="Michelle Lee"/>
    <n v="84"/>
    <x v="1"/>
    <x v="235"/>
    <x v="239"/>
    <n v="3"/>
    <x v="0"/>
    <x v="1"/>
    <n v="6113"/>
    <n v="0.8"/>
    <x v="0"/>
    <n v="6113"/>
    <x v="1"/>
  </r>
  <r>
    <x v="295"/>
    <s v="Richard Young"/>
    <n v="70"/>
    <x v="0"/>
    <x v="236"/>
    <x v="240"/>
    <n v="3"/>
    <x v="1"/>
    <x v="7"/>
    <n v="4356.16"/>
    <n v="0"/>
    <x v="0"/>
    <n v="4356.16"/>
    <x v="1"/>
  </r>
  <r>
    <x v="296"/>
    <s v="Thomas Walker"/>
    <n v="18"/>
    <x v="0"/>
    <x v="237"/>
    <x v="241"/>
    <n v="3"/>
    <x v="1"/>
    <x v="2"/>
    <n v="2810.17"/>
    <n v="0.9"/>
    <x v="0"/>
    <n v="2810.17"/>
    <x v="2"/>
  </r>
  <r>
    <x v="297"/>
    <s v="Kimberly Smith"/>
    <n v="41"/>
    <x v="1"/>
    <x v="238"/>
    <x v="242"/>
    <n v="4"/>
    <x v="2"/>
    <x v="16"/>
    <n v="3049.69"/>
    <n v="0.6"/>
    <x v="0"/>
    <n v="3049.69"/>
    <x v="3"/>
  </r>
  <r>
    <x v="298"/>
    <s v="Betty Robinson"/>
    <n v="70"/>
    <x v="1"/>
    <x v="239"/>
    <x v="243"/>
    <n v="3"/>
    <x v="2"/>
    <x v="16"/>
    <n v="2096.4899999999998"/>
    <n v="0.6"/>
    <x v="1"/>
    <n v="0"/>
    <x v="1"/>
  </r>
  <r>
    <x v="299"/>
    <s v="Elizabeth Brown"/>
    <n v="44"/>
    <x v="1"/>
    <x v="41"/>
    <x v="244"/>
    <n v="5"/>
    <x v="4"/>
    <x v="18"/>
    <n v="12341.99"/>
    <n v="0.7"/>
    <x v="0"/>
    <n v="12341.99"/>
    <x v="3"/>
  </r>
  <r>
    <x v="300"/>
    <s v="Anthony Garcia"/>
    <n v="31"/>
    <x v="0"/>
    <x v="240"/>
    <x v="245"/>
    <n v="3"/>
    <x v="1"/>
    <x v="36"/>
    <n v="3445.79"/>
    <n v="0.9"/>
    <x v="0"/>
    <n v="3445.79"/>
    <x v="2"/>
  </r>
  <r>
    <x v="301"/>
    <s v="Barbara Davis"/>
    <n v="68"/>
    <x v="1"/>
    <x v="241"/>
    <x v="246"/>
    <n v="3"/>
    <x v="0"/>
    <x v="20"/>
    <n v="4176.93"/>
    <n v="0"/>
    <x v="0"/>
    <n v="4176.93"/>
    <x v="1"/>
  </r>
  <r>
    <x v="302"/>
    <s v="William Rodriguez"/>
    <n v="50"/>
    <x v="0"/>
    <x v="242"/>
    <x v="247"/>
    <n v="5"/>
    <x v="0"/>
    <x v="19"/>
    <n v="10022.5"/>
    <n v="0.7"/>
    <x v="1"/>
    <n v="0"/>
    <x v="3"/>
  </r>
  <r>
    <x v="303"/>
    <s v="Robert Lee"/>
    <n v="57"/>
    <x v="0"/>
    <x v="243"/>
    <x v="7"/>
    <n v="7"/>
    <x v="5"/>
    <x v="28"/>
    <n v="13346.03"/>
    <n v="0.6"/>
    <x v="0"/>
    <n v="13346.03"/>
    <x v="0"/>
  </r>
  <r>
    <x v="304"/>
    <s v="Karen Williams"/>
    <n v="67"/>
    <x v="1"/>
    <x v="103"/>
    <x v="248"/>
    <n v="6"/>
    <x v="4"/>
    <x v="18"/>
    <n v="12949.84"/>
    <n v="0.8"/>
    <x v="0"/>
    <n v="12949.84"/>
    <x v="1"/>
  </r>
  <r>
    <x v="305"/>
    <s v="Barbara Clark"/>
    <n v="76"/>
    <x v="1"/>
    <x v="244"/>
    <x v="249"/>
    <n v="3"/>
    <x v="5"/>
    <x v="12"/>
    <n v="5780.36"/>
    <n v="0.9"/>
    <x v="2"/>
    <n v="0"/>
    <x v="1"/>
  </r>
  <r>
    <x v="306"/>
    <s v="Matthew Anderson"/>
    <n v="25"/>
    <x v="0"/>
    <x v="245"/>
    <x v="227"/>
    <n v="9"/>
    <x v="4"/>
    <x v="18"/>
    <n v="12079.5"/>
    <n v="0.6"/>
    <x v="1"/>
    <n v="0"/>
    <x v="2"/>
  </r>
  <r>
    <x v="307"/>
    <s v="Joseph Moore"/>
    <n v="40"/>
    <x v="0"/>
    <x v="246"/>
    <x v="250"/>
    <n v="7"/>
    <x v="2"/>
    <x v="10"/>
    <n v="7389.52"/>
    <n v="0.8"/>
    <x v="1"/>
    <n v="0"/>
    <x v="3"/>
  </r>
  <r>
    <x v="308"/>
    <s v="David Thomas"/>
    <n v="78"/>
    <x v="0"/>
    <x v="247"/>
    <x v="251"/>
    <n v="3"/>
    <x v="0"/>
    <x v="0"/>
    <n v="5108.6400000000003"/>
    <n v="0.6"/>
    <x v="1"/>
    <n v="0"/>
    <x v="1"/>
  </r>
  <r>
    <x v="309"/>
    <s v="Daniel Johnson"/>
    <n v="30"/>
    <x v="0"/>
    <x v="64"/>
    <x v="45"/>
    <n v="2"/>
    <x v="1"/>
    <x v="7"/>
    <n v="3176.54"/>
    <n v="0.8"/>
    <x v="0"/>
    <n v="3176.54"/>
    <x v="2"/>
  </r>
  <r>
    <x v="310"/>
    <s v="Anthony Johnson"/>
    <n v="54"/>
    <x v="0"/>
    <x v="248"/>
    <x v="252"/>
    <n v="8"/>
    <x v="4"/>
    <x v="26"/>
    <n v="17049.400000000001"/>
    <n v="1"/>
    <x v="2"/>
    <n v="0"/>
    <x v="0"/>
  </r>
  <r>
    <x v="311"/>
    <s v="Carol Brown"/>
    <n v="67"/>
    <x v="1"/>
    <x v="69"/>
    <x v="253"/>
    <n v="1"/>
    <x v="1"/>
    <x v="36"/>
    <n v="1997.86"/>
    <n v="0.7"/>
    <x v="0"/>
    <n v="1997.86"/>
    <x v="1"/>
  </r>
  <r>
    <x v="312"/>
    <s v="Mark Brown"/>
    <n v="43"/>
    <x v="0"/>
    <x v="249"/>
    <x v="254"/>
    <n v="4"/>
    <x v="2"/>
    <x v="8"/>
    <n v="4991.59"/>
    <n v="0"/>
    <x v="2"/>
    <n v="0"/>
    <x v="3"/>
  </r>
  <r>
    <x v="313"/>
    <s v="Elizabeth Taylor"/>
    <n v="70"/>
    <x v="1"/>
    <x v="13"/>
    <x v="89"/>
    <n v="9"/>
    <x v="5"/>
    <x v="28"/>
    <n v="17095.62"/>
    <n v="0.9"/>
    <x v="0"/>
    <n v="17095.62"/>
    <x v="1"/>
  </r>
  <r>
    <x v="314"/>
    <s v="Brian Lewis"/>
    <n v="64"/>
    <x v="0"/>
    <x v="250"/>
    <x v="255"/>
    <n v="2"/>
    <x v="1"/>
    <x v="31"/>
    <n v="4730.04"/>
    <n v="0.8"/>
    <x v="0"/>
    <n v="4730.04"/>
    <x v="0"/>
  </r>
  <r>
    <x v="315"/>
    <s v="Joseph Perez"/>
    <n v="56"/>
    <x v="0"/>
    <x v="238"/>
    <x v="256"/>
    <n v="7"/>
    <x v="2"/>
    <x v="4"/>
    <n v="10303.59"/>
    <n v="0.7"/>
    <x v="1"/>
    <n v="0"/>
    <x v="0"/>
  </r>
  <r>
    <x v="316"/>
    <s v="Anthony Walker"/>
    <n v="56"/>
    <x v="0"/>
    <x v="251"/>
    <x v="257"/>
    <n v="6"/>
    <x v="2"/>
    <x v="21"/>
    <n v="7120.81"/>
    <n v="0.8"/>
    <x v="2"/>
    <n v="0"/>
    <x v="0"/>
  </r>
  <r>
    <x v="317"/>
    <s v="Brian Lewis"/>
    <n v="38"/>
    <x v="0"/>
    <x v="252"/>
    <x v="258"/>
    <n v="1"/>
    <x v="1"/>
    <x v="7"/>
    <n v="1418.29"/>
    <n v="0.8"/>
    <x v="0"/>
    <n v="1418.29"/>
    <x v="3"/>
  </r>
  <r>
    <x v="318"/>
    <s v="Brian Ramirez"/>
    <n v="77"/>
    <x v="0"/>
    <x v="59"/>
    <x v="63"/>
    <n v="3"/>
    <x v="1"/>
    <x v="32"/>
    <n v="4818.3999999999996"/>
    <n v="0.6"/>
    <x v="0"/>
    <n v="4818.3999999999996"/>
    <x v="1"/>
  </r>
  <r>
    <x v="319"/>
    <s v="James Wilson"/>
    <n v="51"/>
    <x v="0"/>
    <x v="233"/>
    <x v="259"/>
    <n v="1"/>
    <x v="1"/>
    <x v="2"/>
    <n v="1333.29"/>
    <n v="0.7"/>
    <x v="0"/>
    <n v="1333.29"/>
    <x v="0"/>
  </r>
  <r>
    <x v="320"/>
    <s v="Ashley Jackson"/>
    <n v="34"/>
    <x v="1"/>
    <x v="253"/>
    <x v="260"/>
    <n v="1"/>
    <x v="1"/>
    <x v="32"/>
    <n v="1437.43"/>
    <n v="1"/>
    <x v="0"/>
    <n v="1437.43"/>
    <x v="2"/>
  </r>
  <r>
    <x v="321"/>
    <s v="James Thomas"/>
    <n v="64"/>
    <x v="0"/>
    <x v="254"/>
    <x v="261"/>
    <n v="3"/>
    <x v="2"/>
    <x v="16"/>
    <n v="2608.29"/>
    <n v="0"/>
    <x v="0"/>
    <n v="2608.29"/>
    <x v="0"/>
  </r>
  <r>
    <x v="322"/>
    <s v="Susan Lee"/>
    <n v="8"/>
    <x v="1"/>
    <x v="255"/>
    <x v="262"/>
    <n v="4"/>
    <x v="3"/>
    <x v="25"/>
    <n v="6107.32"/>
    <n v="0.8"/>
    <x v="0"/>
    <n v="6107.32"/>
    <x v="4"/>
  </r>
  <r>
    <x v="323"/>
    <s v="Betty Jones"/>
    <n v="5"/>
    <x v="1"/>
    <x v="256"/>
    <x v="119"/>
    <n v="1"/>
    <x v="3"/>
    <x v="23"/>
    <n v="763.74"/>
    <n v="0.9"/>
    <x v="1"/>
    <n v="0"/>
    <x v="4"/>
  </r>
  <r>
    <x v="324"/>
    <s v="Lisa Martinez"/>
    <n v="3"/>
    <x v="1"/>
    <x v="257"/>
    <x v="263"/>
    <n v="5"/>
    <x v="3"/>
    <x v="24"/>
    <n v="8208.35"/>
    <n v="0"/>
    <x v="2"/>
    <n v="0"/>
    <x v="4"/>
  </r>
  <r>
    <x v="325"/>
    <s v="Ashley Martin"/>
    <n v="26"/>
    <x v="1"/>
    <x v="258"/>
    <x v="264"/>
    <n v="14"/>
    <x v="4"/>
    <x v="26"/>
    <n v="20575.84"/>
    <n v="0.8"/>
    <x v="1"/>
    <n v="0"/>
    <x v="2"/>
  </r>
  <r>
    <x v="326"/>
    <s v="Kevin Lopez"/>
    <n v="1"/>
    <x v="0"/>
    <x v="220"/>
    <x v="100"/>
    <n v="3"/>
    <x v="3"/>
    <x v="22"/>
    <n v="5295.19"/>
    <n v="0.9"/>
    <x v="0"/>
    <n v="5295.19"/>
    <x v="4"/>
  </r>
  <r>
    <x v="327"/>
    <s v="Betty Harris"/>
    <n v="35"/>
    <x v="1"/>
    <x v="259"/>
    <x v="265"/>
    <n v="9"/>
    <x v="4"/>
    <x v="13"/>
    <n v="23024.560000000001"/>
    <n v="0.7"/>
    <x v="1"/>
    <n v="0"/>
    <x v="2"/>
  </r>
  <r>
    <x v="328"/>
    <s v="Linda Jackson"/>
    <n v="33"/>
    <x v="1"/>
    <x v="55"/>
    <x v="102"/>
    <n v="3"/>
    <x v="1"/>
    <x v="36"/>
    <n v="7452.68"/>
    <n v="0.7"/>
    <x v="0"/>
    <n v="7452.68"/>
    <x v="2"/>
  </r>
  <r>
    <x v="329"/>
    <s v="Matthew Clark"/>
    <n v="80"/>
    <x v="0"/>
    <x v="260"/>
    <x v="177"/>
    <n v="8"/>
    <x v="5"/>
    <x v="34"/>
    <n v="10908.13"/>
    <n v="0.6"/>
    <x v="0"/>
    <n v="10908.13"/>
    <x v="1"/>
  </r>
  <r>
    <x v="330"/>
    <s v="Christopher Johnson"/>
    <n v="27"/>
    <x v="0"/>
    <x v="59"/>
    <x v="266"/>
    <n v="6"/>
    <x v="2"/>
    <x v="21"/>
    <n v="7501.37"/>
    <n v="0.7"/>
    <x v="2"/>
    <n v="0"/>
    <x v="2"/>
  </r>
  <r>
    <x v="331"/>
    <s v="Sarah Davis"/>
    <n v="61"/>
    <x v="1"/>
    <x v="58"/>
    <x v="267"/>
    <n v="1"/>
    <x v="1"/>
    <x v="36"/>
    <n v="1264.69"/>
    <n v="0.9"/>
    <x v="0"/>
    <n v="1264.69"/>
    <x v="0"/>
  </r>
  <r>
    <x v="332"/>
    <s v="Susan Martin"/>
    <n v="54"/>
    <x v="1"/>
    <x v="102"/>
    <x v="268"/>
    <n v="11"/>
    <x v="4"/>
    <x v="13"/>
    <n v="26730.35"/>
    <n v="0"/>
    <x v="1"/>
    <n v="0"/>
    <x v="0"/>
  </r>
  <r>
    <x v="333"/>
    <s v="Michelle Garcia"/>
    <n v="57"/>
    <x v="1"/>
    <x v="261"/>
    <x v="269"/>
    <n v="3"/>
    <x v="5"/>
    <x v="17"/>
    <n v="6655.97"/>
    <n v="0.6"/>
    <x v="1"/>
    <n v="0"/>
    <x v="0"/>
  </r>
  <r>
    <x v="334"/>
    <s v="Matthew Garcia"/>
    <n v="63"/>
    <x v="0"/>
    <x v="260"/>
    <x v="177"/>
    <n v="8"/>
    <x v="0"/>
    <x v="20"/>
    <n v="11856.84"/>
    <n v="0.7"/>
    <x v="1"/>
    <n v="0"/>
    <x v="0"/>
  </r>
  <r>
    <x v="335"/>
    <s v="David Clark"/>
    <n v="45"/>
    <x v="0"/>
    <x v="262"/>
    <x v="270"/>
    <n v="1"/>
    <x v="1"/>
    <x v="36"/>
    <n v="1625.38"/>
    <n v="0.8"/>
    <x v="0"/>
    <n v="1625.38"/>
    <x v="3"/>
  </r>
  <r>
    <x v="336"/>
    <s v="Andrew Moore"/>
    <n v="71"/>
    <x v="0"/>
    <x v="263"/>
    <x v="271"/>
    <n v="6"/>
    <x v="0"/>
    <x v="6"/>
    <n v="10880.84"/>
    <n v="0.8"/>
    <x v="0"/>
    <n v="10880.84"/>
    <x v="1"/>
  </r>
  <r>
    <x v="337"/>
    <s v="Christopher Davis"/>
    <n v="69"/>
    <x v="0"/>
    <x v="264"/>
    <x v="272"/>
    <n v="1"/>
    <x v="2"/>
    <x v="21"/>
    <n v="1151.51"/>
    <n v="0.9"/>
    <x v="1"/>
    <n v="0"/>
    <x v="1"/>
  </r>
  <r>
    <x v="338"/>
    <s v="Elizabeth Harris"/>
    <n v="43"/>
    <x v="1"/>
    <x v="265"/>
    <x v="17"/>
    <n v="7"/>
    <x v="0"/>
    <x v="6"/>
    <n v="13660.38"/>
    <n v="0.5"/>
    <x v="1"/>
    <n v="0"/>
    <x v="3"/>
  </r>
  <r>
    <x v="339"/>
    <s v="William Perez"/>
    <n v="21"/>
    <x v="0"/>
    <x v="266"/>
    <x v="273"/>
    <n v="4"/>
    <x v="2"/>
    <x v="21"/>
    <n v="5372.91"/>
    <n v="0.9"/>
    <x v="0"/>
    <n v="5372.91"/>
    <x v="2"/>
  </r>
  <r>
    <x v="340"/>
    <s v="Kenneth Smith"/>
    <n v="16"/>
    <x v="0"/>
    <x v="267"/>
    <x v="119"/>
    <n v="3"/>
    <x v="3"/>
    <x v="37"/>
    <n v="5108.66"/>
    <n v="0.8"/>
    <x v="0"/>
    <n v="5108.66"/>
    <x v="4"/>
  </r>
  <r>
    <x v="341"/>
    <s v="Sarah Robinson"/>
    <n v="72"/>
    <x v="1"/>
    <x v="80"/>
    <x v="274"/>
    <n v="3"/>
    <x v="1"/>
    <x v="32"/>
    <n v="4730.3599999999997"/>
    <n v="0.9"/>
    <x v="0"/>
    <n v="4730.3599999999997"/>
    <x v="1"/>
  </r>
  <r>
    <x v="342"/>
    <s v="Jennifer Lopez"/>
    <n v="57"/>
    <x v="1"/>
    <x v="268"/>
    <x v="275"/>
    <n v="3"/>
    <x v="2"/>
    <x v="8"/>
    <n v="4389.91"/>
    <n v="0.8"/>
    <x v="0"/>
    <n v="4389.91"/>
    <x v="0"/>
  </r>
  <r>
    <x v="343"/>
    <s v="Sandra Robinson"/>
    <n v="39"/>
    <x v="1"/>
    <x v="269"/>
    <x v="276"/>
    <n v="8"/>
    <x v="4"/>
    <x v="13"/>
    <n v="8536.89"/>
    <n v="0.8"/>
    <x v="0"/>
    <n v="8536.89"/>
    <x v="3"/>
  </r>
  <r>
    <x v="344"/>
    <s v="Kimberly White"/>
    <n v="12"/>
    <x v="1"/>
    <x v="200"/>
    <x v="277"/>
    <n v="5"/>
    <x v="3"/>
    <x v="25"/>
    <n v="3347.44"/>
    <n v="0"/>
    <x v="2"/>
    <n v="0"/>
    <x v="4"/>
  </r>
  <r>
    <x v="345"/>
    <s v="Susan Jackson"/>
    <n v="57"/>
    <x v="1"/>
    <x v="270"/>
    <x v="278"/>
    <n v="6"/>
    <x v="0"/>
    <x v="29"/>
    <n v="15565.46"/>
    <n v="0.7"/>
    <x v="1"/>
    <n v="0"/>
    <x v="0"/>
  </r>
  <r>
    <x v="346"/>
    <s v="Robert Martin"/>
    <n v="52"/>
    <x v="0"/>
    <x v="40"/>
    <x v="279"/>
    <n v="7"/>
    <x v="2"/>
    <x v="21"/>
    <n v="4507.1400000000003"/>
    <n v="0.8"/>
    <x v="2"/>
    <n v="0"/>
    <x v="0"/>
  </r>
  <r>
    <x v="347"/>
    <s v="Brian Robinson"/>
    <n v="62"/>
    <x v="0"/>
    <x v="271"/>
    <x v="280"/>
    <n v="7"/>
    <x v="0"/>
    <x v="0"/>
    <n v="10788.07"/>
    <n v="0.7"/>
    <x v="1"/>
    <n v="0"/>
    <x v="0"/>
  </r>
  <r>
    <x v="348"/>
    <s v="Andrew Lewis"/>
    <n v="46"/>
    <x v="0"/>
    <x v="272"/>
    <x v="281"/>
    <n v="9"/>
    <x v="0"/>
    <x v="1"/>
    <n v="26034.080000000002"/>
    <n v="0.8"/>
    <x v="0"/>
    <n v="26034.080000000002"/>
    <x v="3"/>
  </r>
  <r>
    <x v="349"/>
    <s v="Kenneth Taylor"/>
    <n v="44"/>
    <x v="0"/>
    <x v="273"/>
    <x v="89"/>
    <n v="8"/>
    <x v="0"/>
    <x v="20"/>
    <n v="10409.19"/>
    <n v="0.9"/>
    <x v="2"/>
    <n v="0"/>
    <x v="3"/>
  </r>
  <r>
    <x v="350"/>
    <s v="Jennifer Hernandez"/>
    <n v="62"/>
    <x v="1"/>
    <x v="274"/>
    <x v="282"/>
    <n v="1"/>
    <x v="1"/>
    <x v="36"/>
    <n v="1428.8"/>
    <n v="0.8"/>
    <x v="1"/>
    <n v="0"/>
    <x v="0"/>
  </r>
  <r>
    <x v="351"/>
    <s v="Sarah Anderson"/>
    <n v="73"/>
    <x v="1"/>
    <x v="136"/>
    <x v="283"/>
    <n v="3"/>
    <x v="1"/>
    <x v="31"/>
    <n v="6491.42"/>
    <n v="0"/>
    <x v="2"/>
    <n v="0"/>
    <x v="1"/>
  </r>
  <r>
    <x v="352"/>
    <s v="Mary Martinez"/>
    <n v="80"/>
    <x v="1"/>
    <x v="275"/>
    <x v="1"/>
    <n v="3"/>
    <x v="1"/>
    <x v="32"/>
    <n v="2816.11"/>
    <n v="0.8"/>
    <x v="2"/>
    <n v="0"/>
    <x v="1"/>
  </r>
  <r>
    <x v="353"/>
    <s v="Matthew Clark"/>
    <n v="12"/>
    <x v="0"/>
    <x v="77"/>
    <x v="284"/>
    <n v="5"/>
    <x v="3"/>
    <x v="23"/>
    <n v="6337.74"/>
    <n v="0.6"/>
    <x v="1"/>
    <n v="0"/>
    <x v="4"/>
  </r>
  <r>
    <x v="354"/>
    <s v="Lisa Thomas"/>
    <n v="48"/>
    <x v="1"/>
    <x v="276"/>
    <x v="103"/>
    <n v="7"/>
    <x v="2"/>
    <x v="16"/>
    <n v="8162.88"/>
    <n v="0.6"/>
    <x v="0"/>
    <n v="8162.88"/>
    <x v="3"/>
  </r>
  <r>
    <x v="355"/>
    <s v="Thomas Williams"/>
    <n v="69"/>
    <x v="0"/>
    <x v="24"/>
    <x v="285"/>
    <n v="2"/>
    <x v="2"/>
    <x v="5"/>
    <n v="2495.13"/>
    <n v="0.7"/>
    <x v="0"/>
    <n v="2495.13"/>
    <x v="1"/>
  </r>
  <r>
    <x v="356"/>
    <s v="Ashley Martinez"/>
    <n v="16"/>
    <x v="1"/>
    <x v="277"/>
    <x v="286"/>
    <n v="1"/>
    <x v="3"/>
    <x v="23"/>
    <n v="1054.1400000000001"/>
    <n v="0.5"/>
    <x v="1"/>
    <n v="0"/>
    <x v="4"/>
  </r>
  <r>
    <x v="357"/>
    <s v="Mary Ramirez"/>
    <n v="73"/>
    <x v="1"/>
    <x v="261"/>
    <x v="249"/>
    <n v="1"/>
    <x v="1"/>
    <x v="15"/>
    <n v="1251.25"/>
    <n v="0.8"/>
    <x v="0"/>
    <n v="1251.25"/>
    <x v="1"/>
  </r>
  <r>
    <x v="358"/>
    <s v="Kenneth Miller"/>
    <n v="53"/>
    <x v="0"/>
    <x v="275"/>
    <x v="34"/>
    <n v="6"/>
    <x v="0"/>
    <x v="20"/>
    <n v="16598.080000000002"/>
    <n v="0.8"/>
    <x v="0"/>
    <n v="16598.080000000002"/>
    <x v="0"/>
  </r>
  <r>
    <x v="359"/>
    <s v="Emily Hernandez"/>
    <n v="46"/>
    <x v="1"/>
    <x v="278"/>
    <x v="287"/>
    <n v="4"/>
    <x v="2"/>
    <x v="33"/>
    <n v="4875.57"/>
    <n v="0.9"/>
    <x v="0"/>
    <n v="4875.57"/>
    <x v="3"/>
  </r>
  <r>
    <x v="360"/>
    <s v="Paul Perez"/>
    <n v="53"/>
    <x v="0"/>
    <x v="279"/>
    <x v="288"/>
    <n v="5"/>
    <x v="5"/>
    <x v="34"/>
    <n v="12181.3"/>
    <n v="0.5"/>
    <x v="0"/>
    <n v="12181.3"/>
    <x v="0"/>
  </r>
  <r>
    <x v="361"/>
    <s v="James Harris"/>
    <n v="59"/>
    <x v="0"/>
    <x v="280"/>
    <x v="229"/>
    <n v="1"/>
    <x v="1"/>
    <x v="31"/>
    <n v="2262.27"/>
    <n v="1"/>
    <x v="0"/>
    <n v="2262.27"/>
    <x v="0"/>
  </r>
  <r>
    <x v="362"/>
    <s v="Kevin Thompson"/>
    <n v="77"/>
    <x v="0"/>
    <x v="281"/>
    <x v="289"/>
    <n v="6"/>
    <x v="5"/>
    <x v="28"/>
    <n v="15249.23"/>
    <n v="0.6"/>
    <x v="0"/>
    <n v="15249.23"/>
    <x v="1"/>
  </r>
  <r>
    <x v="363"/>
    <s v="Elizabeth Hernandez"/>
    <n v="21"/>
    <x v="1"/>
    <x v="282"/>
    <x v="290"/>
    <n v="3"/>
    <x v="2"/>
    <x v="16"/>
    <n v="3947.95"/>
    <n v="0.8"/>
    <x v="0"/>
    <n v="3947.95"/>
    <x v="2"/>
  </r>
  <r>
    <x v="364"/>
    <s v="Anthony White"/>
    <n v="59"/>
    <x v="0"/>
    <x v="283"/>
    <x v="291"/>
    <n v="13"/>
    <x v="4"/>
    <x v="11"/>
    <n v="35549.129999999997"/>
    <n v="1"/>
    <x v="1"/>
    <n v="0"/>
    <x v="0"/>
  </r>
  <r>
    <x v="365"/>
    <s v="Richard Lewis"/>
    <n v="2"/>
    <x v="0"/>
    <x v="284"/>
    <x v="292"/>
    <n v="4"/>
    <x v="3"/>
    <x v="23"/>
    <n v="7038.14"/>
    <n v="0.7"/>
    <x v="2"/>
    <n v="0"/>
    <x v="4"/>
  </r>
  <r>
    <x v="366"/>
    <s v="Andrew Williams"/>
    <n v="77"/>
    <x v="0"/>
    <x v="285"/>
    <x v="293"/>
    <n v="9"/>
    <x v="0"/>
    <x v="29"/>
    <n v="14877.84"/>
    <n v="1"/>
    <x v="1"/>
    <n v="0"/>
    <x v="1"/>
  </r>
  <r>
    <x v="367"/>
    <s v="James Wilson"/>
    <n v="30"/>
    <x v="0"/>
    <x v="286"/>
    <x v="294"/>
    <n v="11"/>
    <x v="4"/>
    <x v="11"/>
    <n v="14678.51"/>
    <n v="0.6"/>
    <x v="1"/>
    <n v="0"/>
    <x v="2"/>
  </r>
  <r>
    <x v="368"/>
    <s v="Brian Garcia"/>
    <n v="42"/>
    <x v="0"/>
    <x v="287"/>
    <x v="295"/>
    <n v="2"/>
    <x v="1"/>
    <x v="31"/>
    <n v="3466.32"/>
    <n v="0.7"/>
    <x v="0"/>
    <n v="3466.32"/>
    <x v="3"/>
  </r>
  <r>
    <x v="369"/>
    <s v="Joshua Miller"/>
    <n v="59"/>
    <x v="0"/>
    <x v="81"/>
    <x v="187"/>
    <n v="14"/>
    <x v="4"/>
    <x v="18"/>
    <n v="21123.25"/>
    <n v="0.8"/>
    <x v="0"/>
    <n v="21123.25"/>
    <x v="0"/>
  </r>
  <r>
    <x v="370"/>
    <s v="Robert Smith"/>
    <n v="7"/>
    <x v="0"/>
    <x v="1"/>
    <x v="296"/>
    <n v="5"/>
    <x v="3"/>
    <x v="22"/>
    <n v="5585.79"/>
    <n v="0"/>
    <x v="2"/>
    <n v="0"/>
    <x v="4"/>
  </r>
  <r>
    <x v="371"/>
    <s v="Barbara Smith"/>
    <n v="37"/>
    <x v="1"/>
    <x v="166"/>
    <x v="171"/>
    <n v="5"/>
    <x v="2"/>
    <x v="16"/>
    <n v="6953.83"/>
    <n v="0.9"/>
    <x v="1"/>
    <n v="0"/>
    <x v="3"/>
  </r>
  <r>
    <x v="372"/>
    <s v="Sandra Jones"/>
    <n v="33"/>
    <x v="1"/>
    <x v="76"/>
    <x v="297"/>
    <n v="1"/>
    <x v="1"/>
    <x v="7"/>
    <n v="2224.13"/>
    <n v="0.7"/>
    <x v="0"/>
    <n v="2224.13"/>
    <x v="2"/>
  </r>
  <r>
    <x v="373"/>
    <s v="Matthew Anderson"/>
    <n v="76"/>
    <x v="0"/>
    <x v="288"/>
    <x v="298"/>
    <n v="6"/>
    <x v="0"/>
    <x v="6"/>
    <n v="11111.41"/>
    <n v="0.7"/>
    <x v="0"/>
    <n v="11111.41"/>
    <x v="1"/>
  </r>
  <r>
    <x v="374"/>
    <s v="Andrew Williams"/>
    <n v="31"/>
    <x v="0"/>
    <x v="228"/>
    <x v="197"/>
    <n v="7"/>
    <x v="2"/>
    <x v="8"/>
    <n v="8312.57"/>
    <n v="0.7"/>
    <x v="0"/>
    <n v="8312.57"/>
    <x v="2"/>
  </r>
  <r>
    <x v="375"/>
    <s v="Richard Young"/>
    <n v="36"/>
    <x v="0"/>
    <x v="289"/>
    <x v="299"/>
    <n v="5"/>
    <x v="2"/>
    <x v="33"/>
    <n v="4633.5"/>
    <n v="0.9"/>
    <x v="0"/>
    <n v="4633.5"/>
    <x v="3"/>
  </r>
  <r>
    <x v="376"/>
    <s v="Betty Young"/>
    <n v="29"/>
    <x v="1"/>
    <x v="290"/>
    <x v="300"/>
    <n v="3"/>
    <x v="4"/>
    <x v="14"/>
    <n v="6028.31"/>
    <n v="0.8"/>
    <x v="2"/>
    <n v="0"/>
    <x v="2"/>
  </r>
  <r>
    <x v="377"/>
    <s v="James Jackson"/>
    <n v="64"/>
    <x v="0"/>
    <x v="291"/>
    <x v="2"/>
    <n v="5"/>
    <x v="5"/>
    <x v="17"/>
    <n v="6224.81"/>
    <n v="0.7"/>
    <x v="2"/>
    <n v="0"/>
    <x v="0"/>
  </r>
  <r>
    <x v="378"/>
    <s v="Richard Smith"/>
    <n v="44"/>
    <x v="0"/>
    <x v="12"/>
    <x v="301"/>
    <n v="11"/>
    <x v="4"/>
    <x v="11"/>
    <n v="18959.16"/>
    <n v="0.6"/>
    <x v="0"/>
    <n v="18959.16"/>
    <x v="3"/>
  </r>
  <r>
    <x v="379"/>
    <s v="Carol Robinson"/>
    <n v="77"/>
    <x v="1"/>
    <x v="292"/>
    <x v="56"/>
    <n v="2"/>
    <x v="2"/>
    <x v="4"/>
    <n v="2123.39"/>
    <n v="0.8"/>
    <x v="0"/>
    <n v="2123.39"/>
    <x v="1"/>
  </r>
  <r>
    <x v="380"/>
    <s v="Dorothy Hernandez"/>
    <n v="51"/>
    <x v="1"/>
    <x v="293"/>
    <x v="302"/>
    <n v="2"/>
    <x v="4"/>
    <x v="14"/>
    <n v="4043.37"/>
    <n v="1"/>
    <x v="0"/>
    <n v="4043.37"/>
    <x v="0"/>
  </r>
  <r>
    <x v="381"/>
    <s v="Steven Martin"/>
    <n v="4"/>
    <x v="0"/>
    <x v="268"/>
    <x v="303"/>
    <n v="1"/>
    <x v="3"/>
    <x v="24"/>
    <n v="843.6"/>
    <n v="0.7"/>
    <x v="2"/>
    <n v="0"/>
    <x v="4"/>
  </r>
  <r>
    <x v="382"/>
    <s v="Linda Hernandez"/>
    <n v="37"/>
    <x v="1"/>
    <x v="180"/>
    <x v="304"/>
    <n v="4"/>
    <x v="2"/>
    <x v="21"/>
    <n v="2561.88"/>
    <n v="0.7"/>
    <x v="0"/>
    <n v="2561.88"/>
    <x v="3"/>
  </r>
  <r>
    <x v="383"/>
    <s v="Sarah Lopez"/>
    <n v="21"/>
    <x v="1"/>
    <x v="294"/>
    <x v="305"/>
    <n v="1"/>
    <x v="1"/>
    <x v="3"/>
    <n v="1511.32"/>
    <n v="0.8"/>
    <x v="1"/>
    <n v="0"/>
    <x v="2"/>
  </r>
  <r>
    <x v="384"/>
    <s v="Daniel Anderson"/>
    <n v="55"/>
    <x v="0"/>
    <x v="295"/>
    <x v="306"/>
    <n v="14"/>
    <x v="4"/>
    <x v="11"/>
    <n v="27685.69"/>
    <n v="0.7"/>
    <x v="0"/>
    <n v="27685.69"/>
    <x v="0"/>
  </r>
  <r>
    <x v="385"/>
    <s v="Matthew Martinez"/>
    <n v="24"/>
    <x v="0"/>
    <x v="217"/>
    <x v="169"/>
    <n v="4"/>
    <x v="2"/>
    <x v="16"/>
    <n v="3028.33"/>
    <n v="0.7"/>
    <x v="1"/>
    <n v="0"/>
    <x v="2"/>
  </r>
  <r>
    <x v="386"/>
    <s v="Mark Walker"/>
    <n v="70"/>
    <x v="0"/>
    <x v="51"/>
    <x v="307"/>
    <n v="14"/>
    <x v="4"/>
    <x v="13"/>
    <n v="37544.019999999997"/>
    <n v="0.8"/>
    <x v="0"/>
    <n v="37544.019999999997"/>
    <x v="1"/>
  </r>
  <r>
    <x v="387"/>
    <s v="Christopher Clark"/>
    <n v="32"/>
    <x v="0"/>
    <x v="296"/>
    <x v="26"/>
    <n v="7"/>
    <x v="5"/>
    <x v="28"/>
    <n v="17899.3"/>
    <n v="0.7"/>
    <x v="2"/>
    <n v="0"/>
    <x v="2"/>
  </r>
  <r>
    <x v="388"/>
    <s v="Joseph Lee"/>
    <n v="11"/>
    <x v="0"/>
    <x v="216"/>
    <x v="308"/>
    <n v="3"/>
    <x v="3"/>
    <x v="9"/>
    <n v="5297.21"/>
    <n v="0.8"/>
    <x v="0"/>
    <n v="5297.21"/>
    <x v="4"/>
  </r>
  <r>
    <x v="389"/>
    <s v="Steven Wilson"/>
    <n v="46"/>
    <x v="0"/>
    <x v="297"/>
    <x v="309"/>
    <n v="8"/>
    <x v="0"/>
    <x v="19"/>
    <n v="10640.24"/>
    <n v="0"/>
    <x v="2"/>
    <n v="0"/>
    <x v="3"/>
  </r>
  <r>
    <x v="390"/>
    <s v="Mary Martin"/>
    <n v="40"/>
    <x v="1"/>
    <x v="37"/>
    <x v="310"/>
    <n v="3"/>
    <x v="5"/>
    <x v="12"/>
    <n v="3660.71"/>
    <n v="0.7"/>
    <x v="2"/>
    <n v="0"/>
    <x v="3"/>
  </r>
  <r>
    <x v="391"/>
    <s v="Jennifer Harris"/>
    <n v="42"/>
    <x v="1"/>
    <x v="298"/>
    <x v="155"/>
    <n v="6"/>
    <x v="5"/>
    <x v="17"/>
    <n v="10028.68"/>
    <n v="0.8"/>
    <x v="1"/>
    <n v="0"/>
    <x v="3"/>
  </r>
  <r>
    <x v="392"/>
    <s v="Karen Thompson"/>
    <n v="9"/>
    <x v="1"/>
    <x v="101"/>
    <x v="311"/>
    <n v="5"/>
    <x v="3"/>
    <x v="25"/>
    <n v="7238.61"/>
    <n v="0.5"/>
    <x v="1"/>
    <n v="0"/>
    <x v="4"/>
  </r>
  <r>
    <x v="393"/>
    <s v="Sarah Harris"/>
    <n v="29"/>
    <x v="1"/>
    <x v="299"/>
    <x v="312"/>
    <n v="1"/>
    <x v="2"/>
    <x v="8"/>
    <n v="969.55"/>
    <n v="0.9"/>
    <x v="0"/>
    <n v="969.55"/>
    <x v="2"/>
  </r>
  <r>
    <x v="394"/>
    <s v="Steven Young"/>
    <n v="63"/>
    <x v="0"/>
    <x v="12"/>
    <x v="240"/>
    <n v="10"/>
    <x v="0"/>
    <x v="1"/>
    <n v="29016.400000000001"/>
    <n v="0.7"/>
    <x v="0"/>
    <n v="29016.400000000001"/>
    <x v="0"/>
  </r>
  <r>
    <x v="395"/>
    <s v="Dorothy Clark"/>
    <n v="15"/>
    <x v="1"/>
    <x v="300"/>
    <x v="313"/>
    <n v="4"/>
    <x v="3"/>
    <x v="22"/>
    <n v="6415.8"/>
    <n v="0.8"/>
    <x v="0"/>
    <n v="6415.8"/>
    <x v="4"/>
  </r>
  <r>
    <x v="396"/>
    <s v="Anthony Lewis"/>
    <n v="54"/>
    <x v="0"/>
    <x v="87"/>
    <x v="94"/>
    <n v="5"/>
    <x v="0"/>
    <x v="19"/>
    <n v="12816.46"/>
    <n v="0.5"/>
    <x v="0"/>
    <n v="12816.46"/>
    <x v="0"/>
  </r>
  <r>
    <x v="397"/>
    <s v="Jennifer Miller"/>
    <n v="77"/>
    <x v="1"/>
    <x v="301"/>
    <x v="314"/>
    <n v="3"/>
    <x v="0"/>
    <x v="29"/>
    <n v="7577.11"/>
    <n v="0.8"/>
    <x v="0"/>
    <n v="7577.11"/>
    <x v="1"/>
  </r>
  <r>
    <x v="398"/>
    <s v="Robert White"/>
    <n v="35"/>
    <x v="0"/>
    <x v="302"/>
    <x v="43"/>
    <n v="1"/>
    <x v="1"/>
    <x v="31"/>
    <n v="1670.53"/>
    <n v="0.8"/>
    <x v="0"/>
    <n v="1670.53"/>
    <x v="2"/>
  </r>
  <r>
    <x v="399"/>
    <s v="Anthony Clark"/>
    <n v="58"/>
    <x v="0"/>
    <x v="115"/>
    <x v="246"/>
    <n v="8"/>
    <x v="4"/>
    <x v="13"/>
    <n v="19956.13"/>
    <n v="1"/>
    <x v="0"/>
    <n v="19956.13"/>
    <x v="0"/>
  </r>
  <r>
    <x v="400"/>
    <s v="Steven Thomas"/>
    <n v="73"/>
    <x v="0"/>
    <x v="303"/>
    <x v="124"/>
    <n v="2"/>
    <x v="1"/>
    <x v="15"/>
    <n v="2111.6799999999998"/>
    <n v="0.9"/>
    <x v="0"/>
    <n v="2111.6799999999998"/>
    <x v="1"/>
  </r>
  <r>
    <x v="401"/>
    <s v="Elizabeth Martin"/>
    <n v="40"/>
    <x v="1"/>
    <x v="304"/>
    <x v="315"/>
    <n v="6"/>
    <x v="4"/>
    <x v="27"/>
    <n v="9466.9"/>
    <n v="0.7"/>
    <x v="2"/>
    <n v="0"/>
    <x v="3"/>
  </r>
  <r>
    <x v="402"/>
    <s v="Sandra Lopez"/>
    <n v="42"/>
    <x v="1"/>
    <x v="305"/>
    <x v="316"/>
    <n v="10"/>
    <x v="5"/>
    <x v="30"/>
    <n v="20681.509999999998"/>
    <n v="0.9"/>
    <x v="0"/>
    <n v="20681.509999999998"/>
    <x v="3"/>
  </r>
  <r>
    <x v="403"/>
    <s v="William Lewis"/>
    <n v="12"/>
    <x v="0"/>
    <x v="306"/>
    <x v="181"/>
    <n v="4"/>
    <x v="3"/>
    <x v="25"/>
    <n v="2556.54"/>
    <n v="1"/>
    <x v="0"/>
    <n v="2556.54"/>
    <x v="4"/>
  </r>
  <r>
    <x v="404"/>
    <s v="William Ramirez"/>
    <n v="67"/>
    <x v="0"/>
    <x v="256"/>
    <x v="317"/>
    <n v="8"/>
    <x v="5"/>
    <x v="12"/>
    <n v="20496.009999999998"/>
    <n v="1"/>
    <x v="1"/>
    <n v="0"/>
    <x v="1"/>
  </r>
  <r>
    <x v="405"/>
    <s v="Christopher Ramirez"/>
    <n v="1"/>
    <x v="0"/>
    <x v="59"/>
    <x v="318"/>
    <n v="1"/>
    <x v="3"/>
    <x v="9"/>
    <n v="1269.22"/>
    <n v="0.9"/>
    <x v="0"/>
    <n v="1269.22"/>
    <x v="4"/>
  </r>
  <r>
    <x v="406"/>
    <s v="Susan Jones"/>
    <n v="74"/>
    <x v="1"/>
    <x v="307"/>
    <x v="113"/>
    <n v="9"/>
    <x v="4"/>
    <x v="11"/>
    <n v="14175.59"/>
    <n v="0.7"/>
    <x v="2"/>
    <n v="0"/>
    <x v="1"/>
  </r>
  <r>
    <x v="407"/>
    <s v="Michelle Rodriguez"/>
    <n v="36"/>
    <x v="1"/>
    <x v="286"/>
    <x v="319"/>
    <n v="2"/>
    <x v="1"/>
    <x v="36"/>
    <n v="2258.0700000000002"/>
    <n v="0.8"/>
    <x v="0"/>
    <n v="2258.0700000000002"/>
    <x v="3"/>
  </r>
  <r>
    <x v="408"/>
    <s v="Michael Lopez"/>
    <n v="53"/>
    <x v="0"/>
    <x v="308"/>
    <x v="320"/>
    <n v="1"/>
    <x v="2"/>
    <x v="21"/>
    <n v="1471.29"/>
    <n v="0.8"/>
    <x v="0"/>
    <n v="1471.29"/>
    <x v="0"/>
  </r>
  <r>
    <x v="409"/>
    <s v="Emily Thompson"/>
    <n v="7"/>
    <x v="1"/>
    <x v="309"/>
    <x v="28"/>
    <n v="4"/>
    <x v="3"/>
    <x v="9"/>
    <n v="4671.33"/>
    <n v="0.7"/>
    <x v="0"/>
    <n v="4671.33"/>
    <x v="4"/>
  </r>
  <r>
    <x v="410"/>
    <s v="Richard Anderson"/>
    <n v="56"/>
    <x v="0"/>
    <x v="310"/>
    <x v="194"/>
    <n v="3"/>
    <x v="1"/>
    <x v="3"/>
    <n v="3856.57"/>
    <n v="0.7"/>
    <x v="0"/>
    <n v="3856.57"/>
    <x v="0"/>
  </r>
  <r>
    <x v="411"/>
    <s v="Sarah Lopez"/>
    <n v="42"/>
    <x v="1"/>
    <x v="311"/>
    <x v="321"/>
    <n v="9"/>
    <x v="0"/>
    <x v="20"/>
    <n v="22775.06"/>
    <n v="0.8"/>
    <x v="0"/>
    <n v="22775.06"/>
    <x v="3"/>
  </r>
  <r>
    <x v="412"/>
    <s v="Ashley Lee"/>
    <n v="53"/>
    <x v="1"/>
    <x v="188"/>
    <x v="322"/>
    <n v="2"/>
    <x v="1"/>
    <x v="7"/>
    <n v="2542.9899999999998"/>
    <n v="0.6"/>
    <x v="1"/>
    <n v="0"/>
    <x v="0"/>
  </r>
  <r>
    <x v="413"/>
    <s v="Karen Lewis"/>
    <n v="4"/>
    <x v="1"/>
    <x v="312"/>
    <x v="323"/>
    <n v="4"/>
    <x v="3"/>
    <x v="22"/>
    <n v="7044.38"/>
    <n v="0.9"/>
    <x v="0"/>
    <n v="7044.38"/>
    <x v="4"/>
  </r>
  <r>
    <x v="414"/>
    <s v="Betty Ramirez"/>
    <n v="11"/>
    <x v="1"/>
    <x v="65"/>
    <x v="181"/>
    <n v="2"/>
    <x v="3"/>
    <x v="25"/>
    <n v="3402.4"/>
    <n v="0.9"/>
    <x v="0"/>
    <n v="3402.4"/>
    <x v="4"/>
  </r>
  <r>
    <x v="415"/>
    <s v="Elizabeth Garcia"/>
    <n v="62"/>
    <x v="1"/>
    <x v="143"/>
    <x v="324"/>
    <n v="5"/>
    <x v="4"/>
    <x v="27"/>
    <n v="13881.6"/>
    <n v="0.7"/>
    <x v="0"/>
    <n v="13881.6"/>
    <x v="0"/>
  </r>
  <r>
    <x v="416"/>
    <s v="Thomas Anderson"/>
    <n v="29"/>
    <x v="0"/>
    <x v="70"/>
    <x v="325"/>
    <n v="2"/>
    <x v="2"/>
    <x v="33"/>
    <n v="1362.39"/>
    <n v="0.8"/>
    <x v="0"/>
    <n v="1362.39"/>
    <x v="2"/>
  </r>
  <r>
    <x v="417"/>
    <s v="Kenneth Lewis"/>
    <n v="2"/>
    <x v="0"/>
    <x v="313"/>
    <x v="326"/>
    <n v="5"/>
    <x v="3"/>
    <x v="25"/>
    <n v="8510.7800000000007"/>
    <n v="0.7"/>
    <x v="0"/>
    <n v="8510.7800000000007"/>
    <x v="4"/>
  </r>
  <r>
    <x v="418"/>
    <s v="Kevin Wilson"/>
    <n v="67"/>
    <x v="0"/>
    <x v="314"/>
    <x v="327"/>
    <n v="3"/>
    <x v="2"/>
    <x v="33"/>
    <n v="2154.9699999999998"/>
    <n v="0.9"/>
    <x v="0"/>
    <n v="2154.9699999999998"/>
    <x v="1"/>
  </r>
  <r>
    <x v="419"/>
    <s v="Jessica White"/>
    <n v="62"/>
    <x v="1"/>
    <x v="315"/>
    <x v="268"/>
    <n v="3"/>
    <x v="2"/>
    <x v="33"/>
    <n v="1950"/>
    <n v="0.8"/>
    <x v="1"/>
    <n v="0"/>
    <x v="0"/>
  </r>
  <r>
    <x v="420"/>
    <s v="Carol Lewis"/>
    <n v="72"/>
    <x v="1"/>
    <x v="13"/>
    <x v="328"/>
    <n v="5"/>
    <x v="4"/>
    <x v="26"/>
    <n v="5004.03"/>
    <n v="1"/>
    <x v="0"/>
    <n v="5004.03"/>
    <x v="1"/>
  </r>
  <r>
    <x v="421"/>
    <s v="Joseph Robinson"/>
    <n v="63"/>
    <x v="0"/>
    <x v="316"/>
    <x v="329"/>
    <n v="7"/>
    <x v="5"/>
    <x v="28"/>
    <n v="7752.04"/>
    <n v="0.9"/>
    <x v="0"/>
    <n v="7752.04"/>
    <x v="0"/>
  </r>
  <r>
    <x v="422"/>
    <s v="David Anderson"/>
    <n v="69"/>
    <x v="0"/>
    <x v="6"/>
    <x v="330"/>
    <n v="5"/>
    <x v="4"/>
    <x v="18"/>
    <n v="6986.97"/>
    <n v="1"/>
    <x v="1"/>
    <n v="0"/>
    <x v="1"/>
  </r>
  <r>
    <x v="423"/>
    <s v="William Anderson"/>
    <n v="52"/>
    <x v="0"/>
    <x v="46"/>
    <x v="331"/>
    <n v="1"/>
    <x v="1"/>
    <x v="36"/>
    <n v="1744.21"/>
    <n v="0.8"/>
    <x v="1"/>
    <n v="0"/>
    <x v="0"/>
  </r>
  <r>
    <x v="424"/>
    <s v="Ashley Ramirez"/>
    <n v="28"/>
    <x v="1"/>
    <x v="317"/>
    <x v="332"/>
    <n v="13"/>
    <x v="4"/>
    <x v="27"/>
    <n v="23326.29"/>
    <n v="0.6"/>
    <x v="0"/>
    <n v="23326.29"/>
    <x v="2"/>
  </r>
  <r>
    <x v="425"/>
    <s v="Donna Ramirez"/>
    <n v="51"/>
    <x v="1"/>
    <x v="318"/>
    <x v="333"/>
    <n v="7"/>
    <x v="2"/>
    <x v="5"/>
    <n v="5587.17"/>
    <n v="0.7"/>
    <x v="1"/>
    <n v="0"/>
    <x v="0"/>
  </r>
  <r>
    <x v="426"/>
    <s v="Emily Walker"/>
    <n v="46"/>
    <x v="1"/>
    <x v="319"/>
    <x v="174"/>
    <n v="13"/>
    <x v="4"/>
    <x v="26"/>
    <n v="19329.240000000002"/>
    <n v="0.8"/>
    <x v="0"/>
    <n v="19329.240000000002"/>
    <x v="3"/>
  </r>
  <r>
    <x v="427"/>
    <s v="Matthew Jones"/>
    <n v="46"/>
    <x v="0"/>
    <x v="197"/>
    <x v="182"/>
    <n v="8"/>
    <x v="0"/>
    <x v="0"/>
    <n v="20311.28"/>
    <n v="0"/>
    <x v="1"/>
    <n v="0"/>
    <x v="3"/>
  </r>
  <r>
    <x v="428"/>
    <s v="Sandra Harris"/>
    <n v="73"/>
    <x v="1"/>
    <x v="225"/>
    <x v="142"/>
    <n v="3"/>
    <x v="1"/>
    <x v="2"/>
    <n v="2647.99"/>
    <n v="0.8"/>
    <x v="1"/>
    <n v="0"/>
    <x v="1"/>
  </r>
  <r>
    <x v="429"/>
    <s v="Linda Garcia"/>
    <n v="14"/>
    <x v="1"/>
    <x v="320"/>
    <x v="334"/>
    <n v="2"/>
    <x v="3"/>
    <x v="23"/>
    <n v="3396.48"/>
    <n v="0.9"/>
    <x v="0"/>
    <n v="3396.48"/>
    <x v="4"/>
  </r>
  <r>
    <x v="430"/>
    <s v="James Clark"/>
    <n v="82"/>
    <x v="0"/>
    <x v="321"/>
    <x v="335"/>
    <n v="7"/>
    <x v="2"/>
    <x v="16"/>
    <n v="9947.52"/>
    <n v="0.6"/>
    <x v="1"/>
    <n v="0"/>
    <x v="1"/>
  </r>
  <r>
    <x v="431"/>
    <s v="Lisa Jones"/>
    <n v="11"/>
    <x v="1"/>
    <x v="123"/>
    <x v="336"/>
    <n v="2"/>
    <x v="3"/>
    <x v="24"/>
    <n v="2103.42"/>
    <n v="0.6"/>
    <x v="1"/>
    <n v="0"/>
    <x v="4"/>
  </r>
  <r>
    <x v="432"/>
    <s v="Barbara Martinez"/>
    <n v="41"/>
    <x v="1"/>
    <x v="322"/>
    <x v="112"/>
    <n v="10"/>
    <x v="4"/>
    <x v="18"/>
    <n v="20914.48"/>
    <n v="0.5"/>
    <x v="1"/>
    <n v="0"/>
    <x v="3"/>
  </r>
  <r>
    <x v="433"/>
    <s v="James Young"/>
    <n v="57"/>
    <x v="0"/>
    <x v="323"/>
    <x v="144"/>
    <n v="11"/>
    <x v="4"/>
    <x v="18"/>
    <n v="16613.29"/>
    <n v="0.6"/>
    <x v="2"/>
    <n v="0"/>
    <x v="0"/>
  </r>
  <r>
    <x v="434"/>
    <s v="Sarah Perez"/>
    <n v="62"/>
    <x v="1"/>
    <x v="324"/>
    <x v="164"/>
    <n v="13"/>
    <x v="4"/>
    <x v="26"/>
    <n v="23037.14"/>
    <n v="0.7"/>
    <x v="0"/>
    <n v="23037.14"/>
    <x v="0"/>
  </r>
  <r>
    <x v="435"/>
    <s v="Brian Rodriguez"/>
    <n v="23"/>
    <x v="0"/>
    <x v="325"/>
    <x v="233"/>
    <n v="1"/>
    <x v="2"/>
    <x v="21"/>
    <n v="618.74"/>
    <n v="0.8"/>
    <x v="0"/>
    <n v="618.74"/>
    <x v="2"/>
  </r>
  <r>
    <x v="436"/>
    <s v="Paul Clark"/>
    <n v="42"/>
    <x v="0"/>
    <x v="20"/>
    <x v="38"/>
    <n v="3"/>
    <x v="2"/>
    <x v="5"/>
    <n v="3292.07"/>
    <n v="0.5"/>
    <x v="0"/>
    <n v="3292.07"/>
    <x v="3"/>
  </r>
  <r>
    <x v="437"/>
    <s v="Robert Lee"/>
    <n v="48"/>
    <x v="0"/>
    <x v="299"/>
    <x v="130"/>
    <n v="4"/>
    <x v="2"/>
    <x v="8"/>
    <n v="5249.64"/>
    <n v="0.9"/>
    <x v="0"/>
    <n v="5249.64"/>
    <x v="3"/>
  </r>
  <r>
    <x v="438"/>
    <s v="Michael Clark"/>
    <n v="71"/>
    <x v="0"/>
    <x v="326"/>
    <x v="337"/>
    <n v="5"/>
    <x v="4"/>
    <x v="14"/>
    <n v="5726.98"/>
    <n v="0.8"/>
    <x v="0"/>
    <n v="5726.98"/>
    <x v="1"/>
  </r>
  <r>
    <x v="439"/>
    <s v="Andrew Garcia"/>
    <n v="16"/>
    <x v="0"/>
    <x v="327"/>
    <x v="338"/>
    <n v="2"/>
    <x v="3"/>
    <x v="22"/>
    <n v="3417.93"/>
    <n v="1"/>
    <x v="0"/>
    <n v="3417.93"/>
    <x v="4"/>
  </r>
  <r>
    <x v="440"/>
    <s v="Linda Davis"/>
    <n v="73"/>
    <x v="1"/>
    <x v="139"/>
    <x v="48"/>
    <n v="7"/>
    <x v="2"/>
    <x v="4"/>
    <n v="4075.7"/>
    <n v="1"/>
    <x v="0"/>
    <n v="4075.7"/>
    <x v="1"/>
  </r>
  <r>
    <x v="441"/>
    <s v="Christopher Taylor"/>
    <n v="17"/>
    <x v="0"/>
    <x v="328"/>
    <x v="24"/>
    <n v="2"/>
    <x v="3"/>
    <x v="22"/>
    <n v="1245.26"/>
    <n v="1"/>
    <x v="0"/>
    <n v="1245.26"/>
    <x v="4"/>
  </r>
  <r>
    <x v="442"/>
    <s v="Robert Rodriguez"/>
    <n v="49"/>
    <x v="0"/>
    <x v="134"/>
    <x v="77"/>
    <n v="1"/>
    <x v="2"/>
    <x v="16"/>
    <n v="1338.57"/>
    <n v="1"/>
    <x v="1"/>
    <n v="0"/>
    <x v="3"/>
  </r>
  <r>
    <x v="443"/>
    <s v="Elizabeth Brown"/>
    <n v="41"/>
    <x v="1"/>
    <x v="329"/>
    <x v="270"/>
    <n v="7"/>
    <x v="5"/>
    <x v="35"/>
    <n v="11778.46"/>
    <n v="0.6"/>
    <x v="2"/>
    <n v="0"/>
    <x v="3"/>
  </r>
  <r>
    <x v="444"/>
    <s v="Kenneth Thomas"/>
    <n v="65"/>
    <x v="0"/>
    <x v="330"/>
    <x v="339"/>
    <n v="3"/>
    <x v="0"/>
    <x v="29"/>
    <n v="6875.63"/>
    <n v="0.7"/>
    <x v="1"/>
    <n v="0"/>
    <x v="0"/>
  </r>
  <r>
    <x v="445"/>
    <s v="Joseph Walker"/>
    <n v="36"/>
    <x v="0"/>
    <x v="257"/>
    <x v="263"/>
    <n v="5"/>
    <x v="2"/>
    <x v="16"/>
    <n v="4520"/>
    <n v="0.9"/>
    <x v="0"/>
    <n v="4520"/>
    <x v="3"/>
  </r>
  <r>
    <x v="446"/>
    <s v="Joseph Martin"/>
    <n v="47"/>
    <x v="0"/>
    <x v="101"/>
    <x v="340"/>
    <n v="11"/>
    <x v="4"/>
    <x v="13"/>
    <n v="11719.07"/>
    <n v="0.8"/>
    <x v="0"/>
    <n v="11719.07"/>
    <x v="3"/>
  </r>
  <r>
    <x v="447"/>
    <s v="Susan Thompson"/>
    <n v="74"/>
    <x v="1"/>
    <x v="331"/>
    <x v="78"/>
    <n v="11"/>
    <x v="5"/>
    <x v="34"/>
    <n v="13712.17"/>
    <n v="0.8"/>
    <x v="0"/>
    <n v="13712.17"/>
    <x v="1"/>
  </r>
  <r>
    <x v="448"/>
    <s v="Kevin Lewis"/>
    <n v="73"/>
    <x v="0"/>
    <x v="143"/>
    <x v="341"/>
    <n v="1"/>
    <x v="1"/>
    <x v="31"/>
    <n v="2492.86"/>
    <n v="1"/>
    <x v="0"/>
    <n v="2492.86"/>
    <x v="1"/>
  </r>
  <r>
    <x v="449"/>
    <s v="Thomas Hernandez"/>
    <n v="19"/>
    <x v="0"/>
    <x v="332"/>
    <x v="342"/>
    <n v="1"/>
    <x v="1"/>
    <x v="3"/>
    <n v="1867.11"/>
    <n v="0.8"/>
    <x v="0"/>
    <n v="1867.11"/>
    <x v="2"/>
  </r>
  <r>
    <x v="450"/>
    <s v="Daniel Perez"/>
    <n v="68"/>
    <x v="0"/>
    <x v="333"/>
    <x v="237"/>
    <n v="7"/>
    <x v="0"/>
    <x v="0"/>
    <n v="9821.73"/>
    <n v="0.8"/>
    <x v="0"/>
    <n v="9821.73"/>
    <x v="1"/>
  </r>
  <r>
    <x v="451"/>
    <s v="Kimberly Robinson"/>
    <n v="46"/>
    <x v="1"/>
    <x v="133"/>
    <x v="343"/>
    <n v="7"/>
    <x v="5"/>
    <x v="12"/>
    <n v="9183.36"/>
    <n v="0"/>
    <x v="1"/>
    <n v="0"/>
    <x v="3"/>
  </r>
  <r>
    <x v="452"/>
    <s v="Richard Moore"/>
    <n v="59"/>
    <x v="0"/>
    <x v="334"/>
    <x v="344"/>
    <n v="2"/>
    <x v="2"/>
    <x v="16"/>
    <n v="1293.94"/>
    <n v="1"/>
    <x v="0"/>
    <n v="1293.94"/>
    <x v="0"/>
  </r>
  <r>
    <x v="453"/>
    <s v="Carol Taylor"/>
    <n v="48"/>
    <x v="1"/>
    <x v="68"/>
    <x v="169"/>
    <n v="9"/>
    <x v="0"/>
    <x v="29"/>
    <n v="23400.73"/>
    <n v="1"/>
    <x v="0"/>
    <n v="23400.73"/>
    <x v="3"/>
  </r>
  <r>
    <x v="454"/>
    <s v="Donna Lewis"/>
    <n v="68"/>
    <x v="1"/>
    <x v="46"/>
    <x v="345"/>
    <n v="5"/>
    <x v="2"/>
    <x v="4"/>
    <n v="5575.83"/>
    <n v="0.7"/>
    <x v="0"/>
    <n v="5575.83"/>
    <x v="1"/>
  </r>
  <r>
    <x v="455"/>
    <s v="Mary Garcia"/>
    <n v="22"/>
    <x v="1"/>
    <x v="276"/>
    <x v="346"/>
    <n v="1"/>
    <x v="2"/>
    <x v="5"/>
    <n v="711.37"/>
    <n v="0.9"/>
    <x v="1"/>
    <n v="0"/>
    <x v="2"/>
  </r>
  <r>
    <x v="456"/>
    <s v="Joshua Young"/>
    <n v="55"/>
    <x v="0"/>
    <x v="335"/>
    <x v="347"/>
    <n v="3"/>
    <x v="1"/>
    <x v="32"/>
    <n v="3304.36"/>
    <n v="0.6"/>
    <x v="0"/>
    <n v="3304.36"/>
    <x v="0"/>
  </r>
  <r>
    <x v="457"/>
    <s v="William Anderson"/>
    <n v="48"/>
    <x v="0"/>
    <x v="260"/>
    <x v="177"/>
    <n v="8"/>
    <x v="5"/>
    <x v="34"/>
    <n v="18171.34"/>
    <n v="0.7"/>
    <x v="2"/>
    <n v="0"/>
    <x v="3"/>
  </r>
  <r>
    <x v="458"/>
    <s v="Emily Clark"/>
    <n v="49"/>
    <x v="1"/>
    <x v="336"/>
    <x v="348"/>
    <n v="12"/>
    <x v="4"/>
    <x v="27"/>
    <n v="32666.57"/>
    <n v="0.8"/>
    <x v="2"/>
    <n v="0"/>
    <x v="3"/>
  </r>
  <r>
    <x v="459"/>
    <s v="Thomas Young"/>
    <n v="57"/>
    <x v="0"/>
    <x v="337"/>
    <x v="228"/>
    <n v="6"/>
    <x v="2"/>
    <x v="5"/>
    <n v="8770.94"/>
    <n v="0.8"/>
    <x v="0"/>
    <n v="8770.94"/>
    <x v="0"/>
  </r>
  <r>
    <x v="460"/>
    <s v="Matthew Lee"/>
    <n v="37"/>
    <x v="0"/>
    <x v="338"/>
    <x v="11"/>
    <n v="3"/>
    <x v="5"/>
    <x v="30"/>
    <n v="5722.85"/>
    <n v="0.7"/>
    <x v="2"/>
    <n v="0"/>
    <x v="3"/>
  </r>
  <r>
    <x v="461"/>
    <s v="Lisa Perez"/>
    <n v="73"/>
    <x v="1"/>
    <x v="339"/>
    <x v="299"/>
    <n v="1"/>
    <x v="1"/>
    <x v="36"/>
    <n v="1228.01"/>
    <n v="0.9"/>
    <x v="0"/>
    <n v="1228.01"/>
    <x v="1"/>
  </r>
  <r>
    <x v="462"/>
    <s v="Linda Thompson"/>
    <n v="78"/>
    <x v="1"/>
    <x v="340"/>
    <x v="8"/>
    <n v="7"/>
    <x v="2"/>
    <x v="8"/>
    <n v="8155.8"/>
    <n v="0.8"/>
    <x v="0"/>
    <n v="8155.8"/>
    <x v="1"/>
  </r>
  <r>
    <x v="463"/>
    <s v="Emily Taylor"/>
    <n v="75"/>
    <x v="1"/>
    <x v="272"/>
    <x v="349"/>
    <n v="11"/>
    <x v="4"/>
    <x v="27"/>
    <n v="21834.98"/>
    <n v="0.8"/>
    <x v="0"/>
    <n v="21834.98"/>
    <x v="1"/>
  </r>
  <r>
    <x v="464"/>
    <s v="Elizabeth Martin"/>
    <n v="51"/>
    <x v="1"/>
    <x v="341"/>
    <x v="308"/>
    <n v="9"/>
    <x v="4"/>
    <x v="18"/>
    <n v="24478.42"/>
    <n v="0.7"/>
    <x v="1"/>
    <n v="0"/>
    <x v="0"/>
  </r>
  <r>
    <x v="465"/>
    <s v="Joshua White"/>
    <n v="24"/>
    <x v="0"/>
    <x v="81"/>
    <x v="152"/>
    <n v="4"/>
    <x v="2"/>
    <x v="8"/>
    <n v="3310.93"/>
    <n v="0.5"/>
    <x v="0"/>
    <n v="3310.93"/>
    <x v="2"/>
  </r>
  <r>
    <x v="466"/>
    <s v="Sarah Martinez"/>
    <n v="11"/>
    <x v="1"/>
    <x v="342"/>
    <x v="350"/>
    <n v="5"/>
    <x v="3"/>
    <x v="25"/>
    <n v="3615.86"/>
    <n v="0.7"/>
    <x v="0"/>
    <n v="3615.86"/>
    <x v="4"/>
  </r>
  <r>
    <x v="467"/>
    <s v="Sandra Clark"/>
    <n v="71"/>
    <x v="1"/>
    <x v="343"/>
    <x v="15"/>
    <n v="7"/>
    <x v="0"/>
    <x v="29"/>
    <n v="14885.93"/>
    <n v="0.9"/>
    <x v="0"/>
    <n v="14885.93"/>
    <x v="1"/>
  </r>
  <r>
    <x v="468"/>
    <s v="Ashley Ramirez"/>
    <n v="29"/>
    <x v="1"/>
    <x v="101"/>
    <x v="351"/>
    <n v="14"/>
    <x v="4"/>
    <x v="26"/>
    <n v="21594.51"/>
    <n v="0.6"/>
    <x v="0"/>
    <n v="21594.51"/>
    <x v="2"/>
  </r>
  <r>
    <x v="469"/>
    <s v="William Williams"/>
    <n v="35"/>
    <x v="0"/>
    <x v="344"/>
    <x v="248"/>
    <n v="11"/>
    <x v="4"/>
    <x v="11"/>
    <n v="16660.509999999998"/>
    <n v="0.7"/>
    <x v="1"/>
    <n v="0"/>
    <x v="2"/>
  </r>
  <r>
    <x v="470"/>
    <s v="Susan Perez"/>
    <n v="9"/>
    <x v="1"/>
    <x v="167"/>
    <x v="352"/>
    <n v="3"/>
    <x v="3"/>
    <x v="23"/>
    <n v="5025.87"/>
    <n v="0.8"/>
    <x v="0"/>
    <n v="5025.87"/>
    <x v="4"/>
  </r>
  <r>
    <x v="471"/>
    <s v="Michelle Wilson"/>
    <n v="64"/>
    <x v="1"/>
    <x v="345"/>
    <x v="353"/>
    <n v="2"/>
    <x v="4"/>
    <x v="14"/>
    <n v="3693.42"/>
    <n v="0.9"/>
    <x v="0"/>
    <n v="3693.42"/>
    <x v="0"/>
  </r>
  <r>
    <x v="472"/>
    <s v="Andrew Jackson"/>
    <n v="11"/>
    <x v="0"/>
    <x v="254"/>
    <x v="111"/>
    <n v="4"/>
    <x v="3"/>
    <x v="25"/>
    <n v="6070.15"/>
    <n v="0.7"/>
    <x v="0"/>
    <n v="6070.15"/>
    <x v="4"/>
  </r>
  <r>
    <x v="473"/>
    <s v="Kevin Perez"/>
    <n v="78"/>
    <x v="0"/>
    <x v="346"/>
    <x v="202"/>
    <n v="1"/>
    <x v="2"/>
    <x v="5"/>
    <n v="1488.89"/>
    <n v="0.8"/>
    <x v="0"/>
    <n v="1488.89"/>
    <x v="1"/>
  </r>
  <r>
    <x v="474"/>
    <s v="Michael Smith"/>
    <n v="64"/>
    <x v="0"/>
    <x v="347"/>
    <x v="212"/>
    <n v="3"/>
    <x v="2"/>
    <x v="5"/>
    <n v="3173.52"/>
    <n v="0.9"/>
    <x v="2"/>
    <n v="0"/>
    <x v="0"/>
  </r>
  <r>
    <x v="475"/>
    <s v="Michelle Jones"/>
    <n v="38"/>
    <x v="1"/>
    <x v="210"/>
    <x v="354"/>
    <n v="9"/>
    <x v="4"/>
    <x v="11"/>
    <n v="12100.26"/>
    <n v="0.9"/>
    <x v="2"/>
    <n v="0"/>
    <x v="3"/>
  </r>
  <r>
    <x v="476"/>
    <s v="Jennifer Smith"/>
    <n v="66"/>
    <x v="1"/>
    <x v="233"/>
    <x v="7"/>
    <n v="6"/>
    <x v="0"/>
    <x v="6"/>
    <n v="17141"/>
    <n v="0.9"/>
    <x v="0"/>
    <n v="17141"/>
    <x v="1"/>
  </r>
  <r>
    <x v="477"/>
    <s v="Betty Moore"/>
    <n v="36"/>
    <x v="1"/>
    <x v="348"/>
    <x v="355"/>
    <n v="1"/>
    <x v="1"/>
    <x v="31"/>
    <n v="1576.85"/>
    <n v="0.8"/>
    <x v="1"/>
    <n v="0"/>
    <x v="3"/>
  </r>
  <r>
    <x v="478"/>
    <s v="William Rodriguez"/>
    <n v="54"/>
    <x v="0"/>
    <x v="349"/>
    <x v="140"/>
    <n v="1"/>
    <x v="2"/>
    <x v="10"/>
    <n v="534.38"/>
    <n v="0.8"/>
    <x v="0"/>
    <n v="534.38"/>
    <x v="0"/>
  </r>
  <r>
    <x v="479"/>
    <s v="Kimberly Clark"/>
    <n v="1"/>
    <x v="1"/>
    <x v="161"/>
    <x v="311"/>
    <n v="1"/>
    <x v="3"/>
    <x v="24"/>
    <n v="728.22"/>
    <n v="0.6"/>
    <x v="0"/>
    <n v="728.22"/>
    <x v="4"/>
  </r>
  <r>
    <x v="480"/>
    <s v="Thomas Martin"/>
    <n v="29"/>
    <x v="0"/>
    <x v="350"/>
    <x v="356"/>
    <n v="6"/>
    <x v="4"/>
    <x v="27"/>
    <n v="12100.99"/>
    <n v="1"/>
    <x v="1"/>
    <n v="0"/>
    <x v="2"/>
  </r>
  <r>
    <x v="481"/>
    <s v="Dorothy Brown"/>
    <n v="77"/>
    <x v="1"/>
    <x v="351"/>
    <x v="241"/>
    <n v="6"/>
    <x v="0"/>
    <x v="0"/>
    <n v="8417.51"/>
    <n v="0.7"/>
    <x v="2"/>
    <n v="0"/>
    <x v="1"/>
  </r>
  <r>
    <x v="482"/>
    <s v="Linda Davis"/>
    <n v="82"/>
    <x v="1"/>
    <x v="249"/>
    <x v="357"/>
    <n v="3"/>
    <x v="0"/>
    <x v="29"/>
    <n v="4494.01"/>
    <n v="0.5"/>
    <x v="2"/>
    <n v="0"/>
    <x v="1"/>
  </r>
  <r>
    <x v="483"/>
    <s v="Paul Johnson"/>
    <n v="2"/>
    <x v="0"/>
    <x v="352"/>
    <x v="358"/>
    <n v="4"/>
    <x v="3"/>
    <x v="24"/>
    <n v="3929.21"/>
    <n v="0.9"/>
    <x v="1"/>
    <n v="0"/>
    <x v="4"/>
  </r>
  <r>
    <x v="484"/>
    <s v="Lisa Jones"/>
    <n v="48"/>
    <x v="1"/>
    <x v="353"/>
    <x v="359"/>
    <n v="14"/>
    <x v="4"/>
    <x v="14"/>
    <n v="24600.43"/>
    <n v="0.7"/>
    <x v="1"/>
    <n v="0"/>
    <x v="3"/>
  </r>
  <r>
    <x v="485"/>
    <s v="Joseph Clark"/>
    <n v="60"/>
    <x v="0"/>
    <x v="354"/>
    <x v="17"/>
    <n v="3"/>
    <x v="1"/>
    <x v="15"/>
    <n v="4928.0600000000004"/>
    <n v="0.6"/>
    <x v="2"/>
    <n v="0"/>
    <x v="0"/>
  </r>
  <r>
    <x v="486"/>
    <s v="Linda Wilson"/>
    <n v="69"/>
    <x v="1"/>
    <x v="355"/>
    <x v="27"/>
    <n v="1"/>
    <x v="1"/>
    <x v="3"/>
    <n v="1292.28"/>
    <n v="1"/>
    <x v="0"/>
    <n v="1292.28"/>
    <x v="1"/>
  </r>
  <r>
    <x v="487"/>
    <s v="Nancy Jones"/>
    <n v="14"/>
    <x v="1"/>
    <x v="356"/>
    <x v="360"/>
    <n v="3"/>
    <x v="3"/>
    <x v="25"/>
    <n v="3900.85"/>
    <n v="0.9"/>
    <x v="0"/>
    <n v="3900.85"/>
    <x v="4"/>
  </r>
  <r>
    <x v="488"/>
    <s v="Nancy Perez"/>
    <n v="39"/>
    <x v="1"/>
    <x v="58"/>
    <x v="361"/>
    <n v="5"/>
    <x v="2"/>
    <x v="33"/>
    <n v="2872.81"/>
    <n v="1"/>
    <x v="1"/>
    <n v="0"/>
    <x v="3"/>
  </r>
  <r>
    <x v="489"/>
    <s v="Barbara Brown"/>
    <n v="43"/>
    <x v="1"/>
    <x v="357"/>
    <x v="362"/>
    <n v="9"/>
    <x v="4"/>
    <x v="18"/>
    <n v="16993.79"/>
    <n v="0.7"/>
    <x v="2"/>
    <n v="0"/>
    <x v="3"/>
  </r>
  <r>
    <x v="490"/>
    <s v="Matthew Ramirez"/>
    <n v="11"/>
    <x v="0"/>
    <x v="40"/>
    <x v="41"/>
    <n v="4"/>
    <x v="3"/>
    <x v="37"/>
    <n v="4693.3500000000004"/>
    <n v="0.8"/>
    <x v="0"/>
    <n v="4693.3500000000004"/>
    <x v="4"/>
  </r>
  <r>
    <x v="491"/>
    <s v="Sarah Brown"/>
    <n v="71"/>
    <x v="1"/>
    <x v="191"/>
    <x v="76"/>
    <n v="1"/>
    <x v="1"/>
    <x v="32"/>
    <n v="2381.67"/>
    <n v="0.6"/>
    <x v="2"/>
    <n v="0"/>
    <x v="1"/>
  </r>
  <r>
    <x v="492"/>
    <s v="Robert Williams"/>
    <n v="14"/>
    <x v="0"/>
    <x v="2"/>
    <x v="343"/>
    <n v="2"/>
    <x v="3"/>
    <x v="22"/>
    <n v="3014.2"/>
    <n v="0.6"/>
    <x v="1"/>
    <n v="0"/>
    <x v="4"/>
  </r>
  <r>
    <x v="493"/>
    <s v="Mary Thompson"/>
    <n v="45"/>
    <x v="1"/>
    <x v="272"/>
    <x v="353"/>
    <n v="8"/>
    <x v="5"/>
    <x v="35"/>
    <n v="13434.66"/>
    <n v="0.6"/>
    <x v="1"/>
    <n v="0"/>
    <x v="3"/>
  </r>
  <r>
    <x v="494"/>
    <s v="Michael White"/>
    <n v="29"/>
    <x v="0"/>
    <x v="358"/>
    <x v="121"/>
    <n v="11"/>
    <x v="4"/>
    <x v="27"/>
    <n v="13647.71"/>
    <n v="0.5"/>
    <x v="0"/>
    <n v="13647.71"/>
    <x v="2"/>
  </r>
  <r>
    <x v="495"/>
    <s v="Michael Robinson"/>
    <n v="44"/>
    <x v="0"/>
    <x v="359"/>
    <x v="363"/>
    <n v="2"/>
    <x v="4"/>
    <x v="26"/>
    <n v="4992.76"/>
    <n v="0.6"/>
    <x v="0"/>
    <n v="4992.76"/>
    <x v="3"/>
  </r>
  <r>
    <x v="496"/>
    <s v="Robert Jackson"/>
    <n v="42"/>
    <x v="0"/>
    <x v="360"/>
    <x v="364"/>
    <n v="2"/>
    <x v="1"/>
    <x v="7"/>
    <n v="4370.5"/>
    <n v="0.7"/>
    <x v="1"/>
    <n v="0"/>
    <x v="3"/>
  </r>
  <r>
    <x v="497"/>
    <s v="Donna Johnson"/>
    <n v="48"/>
    <x v="1"/>
    <x v="361"/>
    <x v="46"/>
    <n v="4"/>
    <x v="2"/>
    <x v="16"/>
    <n v="3007.7"/>
    <n v="0.8"/>
    <x v="1"/>
    <n v="0"/>
    <x v="3"/>
  </r>
  <r>
    <x v="498"/>
    <s v="Donna Martinez"/>
    <n v="50"/>
    <x v="1"/>
    <x v="362"/>
    <x v="275"/>
    <n v="7"/>
    <x v="5"/>
    <x v="17"/>
    <n v="17578.87"/>
    <n v="0.8"/>
    <x v="0"/>
    <n v="17578.87"/>
    <x v="3"/>
  </r>
  <r>
    <x v="499"/>
    <s v="Anthony White"/>
    <n v="78"/>
    <x v="0"/>
    <x v="363"/>
    <x v="52"/>
    <n v="2"/>
    <x v="2"/>
    <x v="10"/>
    <n v="1203.76"/>
    <n v="0.9"/>
    <x v="1"/>
    <n v="0"/>
    <x v="1"/>
  </r>
  <r>
    <x v="500"/>
    <s v="Donna Lee"/>
    <n v="22"/>
    <x v="1"/>
    <x v="171"/>
    <x v="43"/>
    <n v="3"/>
    <x v="1"/>
    <x v="2"/>
    <n v="2453.12"/>
    <n v="0.5"/>
    <x v="0"/>
    <n v="2453.12"/>
    <x v="2"/>
  </r>
  <r>
    <x v="501"/>
    <s v="Kevin White"/>
    <n v="64"/>
    <x v="0"/>
    <x v="364"/>
    <x v="81"/>
    <n v="3"/>
    <x v="0"/>
    <x v="19"/>
    <n v="6452.72"/>
    <n v="0.7"/>
    <x v="0"/>
    <n v="6452.72"/>
    <x v="0"/>
  </r>
  <r>
    <x v="502"/>
    <s v="Lisa Lee"/>
    <n v="10"/>
    <x v="1"/>
    <x v="349"/>
    <x v="282"/>
    <n v="3"/>
    <x v="3"/>
    <x v="9"/>
    <n v="3215.48"/>
    <n v="0.9"/>
    <x v="0"/>
    <n v="3215.48"/>
    <x v="4"/>
  </r>
  <r>
    <x v="503"/>
    <s v="Daniel Jones"/>
    <n v="62"/>
    <x v="0"/>
    <x v="162"/>
    <x v="355"/>
    <n v="6"/>
    <x v="0"/>
    <x v="6"/>
    <n v="17458.62"/>
    <n v="0"/>
    <x v="0"/>
    <n v="17458.62"/>
    <x v="0"/>
  </r>
  <r>
    <x v="504"/>
    <s v="Steven Young"/>
    <n v="57"/>
    <x v="0"/>
    <x v="279"/>
    <x v="288"/>
    <n v="5"/>
    <x v="0"/>
    <x v="0"/>
    <n v="14707.56"/>
    <n v="0.8"/>
    <x v="2"/>
    <n v="0"/>
    <x v="0"/>
  </r>
  <r>
    <x v="505"/>
    <s v="Steven Davis"/>
    <n v="52"/>
    <x v="0"/>
    <x v="234"/>
    <x v="79"/>
    <n v="4"/>
    <x v="2"/>
    <x v="10"/>
    <n v="5116.62"/>
    <n v="0.9"/>
    <x v="2"/>
    <n v="0"/>
    <x v="0"/>
  </r>
  <r>
    <x v="506"/>
    <s v="Barbara Davis"/>
    <n v="29"/>
    <x v="1"/>
    <x v="323"/>
    <x v="199"/>
    <n v="7"/>
    <x v="4"/>
    <x v="18"/>
    <n v="11957.78"/>
    <n v="0.8"/>
    <x v="1"/>
    <n v="0"/>
    <x v="2"/>
  </r>
  <r>
    <x v="507"/>
    <s v="Michelle Taylor"/>
    <n v="76"/>
    <x v="1"/>
    <x v="273"/>
    <x v="13"/>
    <n v="1"/>
    <x v="1"/>
    <x v="3"/>
    <n v="2237.66"/>
    <n v="0.8"/>
    <x v="0"/>
    <n v="2237.66"/>
    <x v="1"/>
  </r>
  <r>
    <x v="508"/>
    <s v="Steven Robinson"/>
    <n v="29"/>
    <x v="0"/>
    <x v="365"/>
    <x v="78"/>
    <n v="1"/>
    <x v="2"/>
    <x v="8"/>
    <n v="912.18"/>
    <n v="0.5"/>
    <x v="1"/>
    <n v="0"/>
    <x v="2"/>
  </r>
  <r>
    <x v="509"/>
    <s v="Lisa Lopez"/>
    <n v="63"/>
    <x v="1"/>
    <x v="362"/>
    <x v="83"/>
    <n v="1"/>
    <x v="1"/>
    <x v="7"/>
    <n v="2435.08"/>
    <n v="0.6"/>
    <x v="2"/>
    <n v="0"/>
    <x v="0"/>
  </r>
  <r>
    <x v="510"/>
    <s v="Michael Miller"/>
    <n v="55"/>
    <x v="0"/>
    <x v="366"/>
    <x v="365"/>
    <n v="12"/>
    <x v="4"/>
    <x v="27"/>
    <n v="26103.65"/>
    <n v="0.6"/>
    <x v="2"/>
    <n v="0"/>
    <x v="0"/>
  </r>
  <r>
    <x v="511"/>
    <s v="William Jones"/>
    <n v="6"/>
    <x v="0"/>
    <x v="15"/>
    <x v="292"/>
    <n v="1"/>
    <x v="3"/>
    <x v="9"/>
    <n v="762.87"/>
    <n v="0.8"/>
    <x v="0"/>
    <n v="762.87"/>
    <x v="4"/>
  </r>
  <r>
    <x v="512"/>
    <s v="Michelle Thompson"/>
    <n v="15"/>
    <x v="1"/>
    <x v="33"/>
    <x v="33"/>
    <n v="1"/>
    <x v="3"/>
    <x v="23"/>
    <n v="653.57000000000005"/>
    <n v="0.7"/>
    <x v="1"/>
    <n v="0"/>
    <x v="4"/>
  </r>
  <r>
    <x v="513"/>
    <s v="Mary Taylor"/>
    <n v="60"/>
    <x v="1"/>
    <x v="310"/>
    <x v="194"/>
    <n v="3"/>
    <x v="4"/>
    <x v="18"/>
    <n v="7007.11"/>
    <n v="0.8"/>
    <x v="0"/>
    <n v="7007.11"/>
    <x v="0"/>
  </r>
  <r>
    <x v="514"/>
    <s v="Joshua Williams"/>
    <n v="66"/>
    <x v="0"/>
    <x v="358"/>
    <x v="366"/>
    <n v="7"/>
    <x v="2"/>
    <x v="8"/>
    <n v="9641.39"/>
    <n v="0.8"/>
    <x v="0"/>
    <n v="9641.39"/>
    <x v="1"/>
  </r>
  <r>
    <x v="515"/>
    <s v="Lisa Wilson"/>
    <n v="41"/>
    <x v="1"/>
    <x v="70"/>
    <x v="129"/>
    <n v="10"/>
    <x v="4"/>
    <x v="18"/>
    <n v="20277.68"/>
    <n v="0.6"/>
    <x v="1"/>
    <n v="0"/>
    <x v="3"/>
  </r>
  <r>
    <x v="516"/>
    <s v="Sandra Williams"/>
    <n v="56"/>
    <x v="1"/>
    <x v="367"/>
    <x v="367"/>
    <n v="7"/>
    <x v="0"/>
    <x v="20"/>
    <n v="10406.790000000001"/>
    <n v="0.7"/>
    <x v="1"/>
    <n v="0"/>
    <x v="0"/>
  </r>
  <r>
    <x v="517"/>
    <s v="Steven Johnson"/>
    <n v="25"/>
    <x v="0"/>
    <x v="288"/>
    <x v="368"/>
    <n v="3"/>
    <x v="1"/>
    <x v="36"/>
    <n v="5735.73"/>
    <n v="0.8"/>
    <x v="1"/>
    <n v="0"/>
    <x v="2"/>
  </r>
  <r>
    <x v="518"/>
    <s v="Andrew Lewis"/>
    <n v="38"/>
    <x v="0"/>
    <x v="49"/>
    <x v="348"/>
    <n v="3"/>
    <x v="2"/>
    <x v="10"/>
    <n v="4420.13"/>
    <n v="0.9"/>
    <x v="0"/>
    <n v="4420.13"/>
    <x v="3"/>
  </r>
  <r>
    <x v="519"/>
    <s v="Karen Walker"/>
    <n v="56"/>
    <x v="1"/>
    <x v="247"/>
    <x v="369"/>
    <n v="6"/>
    <x v="2"/>
    <x v="21"/>
    <n v="4034.24"/>
    <n v="0.9"/>
    <x v="1"/>
    <n v="0"/>
    <x v="0"/>
  </r>
  <r>
    <x v="520"/>
    <s v="Brian Miller"/>
    <n v="53"/>
    <x v="0"/>
    <x v="61"/>
    <x v="370"/>
    <n v="11"/>
    <x v="5"/>
    <x v="12"/>
    <n v="18224.23"/>
    <n v="0.8"/>
    <x v="0"/>
    <n v="18224.23"/>
    <x v="0"/>
  </r>
  <r>
    <x v="521"/>
    <s v="Thomas Clark"/>
    <n v="21"/>
    <x v="0"/>
    <x v="368"/>
    <x v="12"/>
    <n v="7"/>
    <x v="2"/>
    <x v="21"/>
    <n v="4562.96"/>
    <n v="0.9"/>
    <x v="0"/>
    <n v="4562.96"/>
    <x v="2"/>
  </r>
  <r>
    <x v="522"/>
    <s v="David Anderson"/>
    <n v="1"/>
    <x v="0"/>
    <x v="369"/>
    <x v="360"/>
    <n v="5"/>
    <x v="3"/>
    <x v="23"/>
    <n v="7560.63"/>
    <n v="0"/>
    <x v="0"/>
    <n v="7560.63"/>
    <x v="4"/>
  </r>
  <r>
    <x v="523"/>
    <s v="Sarah Anderson"/>
    <n v="21"/>
    <x v="1"/>
    <x v="227"/>
    <x v="210"/>
    <n v="1"/>
    <x v="2"/>
    <x v="8"/>
    <n v="605"/>
    <n v="0.8"/>
    <x v="0"/>
    <n v="605"/>
    <x v="2"/>
  </r>
  <r>
    <x v="524"/>
    <s v="Lisa Davis"/>
    <n v="77"/>
    <x v="1"/>
    <x v="27"/>
    <x v="371"/>
    <n v="1"/>
    <x v="1"/>
    <x v="31"/>
    <n v="899.35"/>
    <n v="0.7"/>
    <x v="1"/>
    <n v="0"/>
    <x v="1"/>
  </r>
  <r>
    <x v="525"/>
    <s v="Kenneth Davis"/>
    <n v="54"/>
    <x v="0"/>
    <x v="337"/>
    <x v="352"/>
    <n v="5"/>
    <x v="0"/>
    <x v="0"/>
    <n v="13642.77"/>
    <n v="0.8"/>
    <x v="2"/>
    <n v="0"/>
    <x v="0"/>
  </r>
  <r>
    <x v="526"/>
    <s v="Emily Walker"/>
    <n v="49"/>
    <x v="1"/>
    <x v="370"/>
    <x v="187"/>
    <n v="1"/>
    <x v="2"/>
    <x v="16"/>
    <n v="1419.55"/>
    <n v="0.9"/>
    <x v="2"/>
    <n v="0"/>
    <x v="3"/>
  </r>
  <r>
    <x v="527"/>
    <s v="Thomas Garcia"/>
    <n v="74"/>
    <x v="0"/>
    <x v="371"/>
    <x v="372"/>
    <n v="5"/>
    <x v="2"/>
    <x v="4"/>
    <n v="4915.01"/>
    <n v="0.9"/>
    <x v="0"/>
    <n v="4915.01"/>
    <x v="1"/>
  </r>
  <r>
    <x v="528"/>
    <s v="Sarah Lee"/>
    <n v="24"/>
    <x v="1"/>
    <x v="372"/>
    <x v="373"/>
    <n v="1"/>
    <x v="2"/>
    <x v="21"/>
    <n v="879.73"/>
    <n v="0.8"/>
    <x v="0"/>
    <n v="879.73"/>
    <x v="2"/>
  </r>
  <r>
    <x v="529"/>
    <s v="Barbara Thompson"/>
    <n v="78"/>
    <x v="1"/>
    <x v="140"/>
    <x v="88"/>
    <n v="3"/>
    <x v="1"/>
    <x v="3"/>
    <n v="4924.09"/>
    <n v="0.7"/>
    <x v="0"/>
    <n v="4924.09"/>
    <x v="1"/>
  </r>
  <r>
    <x v="530"/>
    <s v="Joshua Miller"/>
    <n v="34"/>
    <x v="0"/>
    <x v="211"/>
    <x v="374"/>
    <n v="10"/>
    <x v="4"/>
    <x v="11"/>
    <n v="13077.22"/>
    <n v="0.6"/>
    <x v="2"/>
    <n v="0"/>
    <x v="2"/>
  </r>
  <r>
    <x v="531"/>
    <s v="William Young"/>
    <n v="45"/>
    <x v="0"/>
    <x v="298"/>
    <x v="375"/>
    <n v="7"/>
    <x v="2"/>
    <x v="8"/>
    <n v="5438.75"/>
    <n v="0.8"/>
    <x v="0"/>
    <n v="5438.75"/>
    <x v="3"/>
  </r>
  <r>
    <x v="532"/>
    <s v="Carol Ramirez"/>
    <n v="59"/>
    <x v="1"/>
    <x v="283"/>
    <x v="299"/>
    <n v="8"/>
    <x v="0"/>
    <x v="1"/>
    <n v="23659.1"/>
    <n v="0.9"/>
    <x v="1"/>
    <n v="0"/>
    <x v="0"/>
  </r>
  <r>
    <x v="533"/>
    <s v="Robert Clark"/>
    <n v="80"/>
    <x v="0"/>
    <x v="43"/>
    <x v="376"/>
    <n v="5"/>
    <x v="0"/>
    <x v="29"/>
    <n v="10323.56"/>
    <n v="0.7"/>
    <x v="0"/>
    <n v="10323.56"/>
    <x v="1"/>
  </r>
  <r>
    <x v="534"/>
    <s v="James Walker"/>
    <n v="53"/>
    <x v="0"/>
    <x v="38"/>
    <x v="39"/>
    <n v="9"/>
    <x v="4"/>
    <x v="27"/>
    <n v="23629.360000000001"/>
    <n v="0.9"/>
    <x v="0"/>
    <n v="23629.360000000001"/>
    <x v="0"/>
  </r>
  <r>
    <x v="535"/>
    <s v="Thomas Lewis"/>
    <n v="65"/>
    <x v="0"/>
    <x v="256"/>
    <x v="377"/>
    <n v="6"/>
    <x v="2"/>
    <x v="21"/>
    <n v="7474.49"/>
    <n v="0.7"/>
    <x v="0"/>
    <n v="7474.49"/>
    <x v="0"/>
  </r>
  <r>
    <x v="536"/>
    <s v="Elizabeth Robinson"/>
    <n v="46"/>
    <x v="1"/>
    <x v="19"/>
    <x v="170"/>
    <n v="3"/>
    <x v="1"/>
    <x v="32"/>
    <n v="6062.52"/>
    <n v="0.9"/>
    <x v="0"/>
    <n v="6062.52"/>
    <x v="3"/>
  </r>
  <r>
    <x v="537"/>
    <s v="Karen Taylor"/>
    <n v="19"/>
    <x v="1"/>
    <x v="373"/>
    <x v="378"/>
    <n v="2"/>
    <x v="1"/>
    <x v="15"/>
    <n v="4748.93"/>
    <n v="0"/>
    <x v="0"/>
    <n v="4748.93"/>
    <x v="2"/>
  </r>
  <r>
    <x v="538"/>
    <s v="Anthony Jackson"/>
    <n v="12"/>
    <x v="0"/>
    <x v="281"/>
    <x v="379"/>
    <n v="4"/>
    <x v="3"/>
    <x v="22"/>
    <n v="5993.64"/>
    <n v="0"/>
    <x v="2"/>
    <n v="0"/>
    <x v="4"/>
  </r>
  <r>
    <x v="539"/>
    <s v="Michael Taylor"/>
    <n v="49"/>
    <x v="0"/>
    <x v="374"/>
    <x v="41"/>
    <n v="2"/>
    <x v="2"/>
    <x v="8"/>
    <n v="1129.2"/>
    <n v="0.8"/>
    <x v="0"/>
    <n v="1129.2"/>
    <x v="3"/>
  </r>
  <r>
    <x v="540"/>
    <s v="Barbara Davis"/>
    <n v="47"/>
    <x v="1"/>
    <x v="146"/>
    <x v="147"/>
    <n v="3"/>
    <x v="1"/>
    <x v="31"/>
    <n v="2925.89"/>
    <n v="0.6"/>
    <x v="2"/>
    <n v="0"/>
    <x v="3"/>
  </r>
  <r>
    <x v="541"/>
    <s v="Karen Davis"/>
    <n v="60"/>
    <x v="1"/>
    <x v="375"/>
    <x v="327"/>
    <n v="2"/>
    <x v="1"/>
    <x v="31"/>
    <n v="3791.25"/>
    <n v="0.6"/>
    <x v="1"/>
    <n v="0"/>
    <x v="0"/>
  </r>
  <r>
    <x v="542"/>
    <s v="Karen White"/>
    <n v="39"/>
    <x v="1"/>
    <x v="30"/>
    <x v="380"/>
    <n v="7"/>
    <x v="4"/>
    <x v="27"/>
    <n v="17536.5"/>
    <n v="0.9"/>
    <x v="0"/>
    <n v="17536.5"/>
    <x v="3"/>
  </r>
  <r>
    <x v="543"/>
    <s v="Sarah Davis"/>
    <n v="35"/>
    <x v="1"/>
    <x v="376"/>
    <x v="160"/>
    <n v="4"/>
    <x v="2"/>
    <x v="4"/>
    <n v="2285.7199999999998"/>
    <n v="0.9"/>
    <x v="0"/>
    <n v="2285.7199999999998"/>
    <x v="2"/>
  </r>
  <r>
    <x v="544"/>
    <s v="Carol Wilson"/>
    <n v="37"/>
    <x v="1"/>
    <x v="377"/>
    <x v="309"/>
    <n v="9"/>
    <x v="4"/>
    <x v="18"/>
    <n v="11741.84"/>
    <n v="0.8"/>
    <x v="0"/>
    <n v="11741.84"/>
    <x v="3"/>
  </r>
  <r>
    <x v="545"/>
    <s v="Emily Jackson"/>
    <n v="51"/>
    <x v="1"/>
    <x v="378"/>
    <x v="64"/>
    <n v="8"/>
    <x v="0"/>
    <x v="6"/>
    <n v="17157.7"/>
    <n v="0.8"/>
    <x v="1"/>
    <n v="0"/>
    <x v="0"/>
  </r>
  <r>
    <x v="546"/>
    <s v="Susan Clark"/>
    <n v="69"/>
    <x v="1"/>
    <x v="119"/>
    <x v="381"/>
    <n v="1"/>
    <x v="2"/>
    <x v="33"/>
    <n v="1202.17"/>
    <n v="0"/>
    <x v="2"/>
    <n v="0"/>
    <x v="1"/>
  </r>
  <r>
    <x v="547"/>
    <s v="David Johnson"/>
    <n v="10"/>
    <x v="0"/>
    <x v="379"/>
    <x v="121"/>
    <n v="1"/>
    <x v="3"/>
    <x v="9"/>
    <n v="963.75"/>
    <n v="1"/>
    <x v="0"/>
    <n v="963.75"/>
    <x v="4"/>
  </r>
  <r>
    <x v="548"/>
    <s v="Andrew White"/>
    <n v="5"/>
    <x v="0"/>
    <x v="124"/>
    <x v="382"/>
    <n v="1"/>
    <x v="3"/>
    <x v="9"/>
    <n v="634.45000000000005"/>
    <n v="0.8"/>
    <x v="0"/>
    <n v="634.45000000000005"/>
    <x v="4"/>
  </r>
  <r>
    <x v="549"/>
    <s v="Joshua Clark"/>
    <n v="67"/>
    <x v="0"/>
    <x v="380"/>
    <x v="383"/>
    <n v="12"/>
    <x v="4"/>
    <x v="18"/>
    <n v="15003.09"/>
    <n v="0.6"/>
    <x v="1"/>
    <n v="0"/>
    <x v="1"/>
  </r>
  <r>
    <x v="550"/>
    <s v="Jennifer Anderson"/>
    <n v="33"/>
    <x v="1"/>
    <x v="381"/>
    <x v="357"/>
    <n v="2"/>
    <x v="1"/>
    <x v="7"/>
    <n v="1936.8"/>
    <n v="0.8"/>
    <x v="0"/>
    <n v="1936.8"/>
    <x v="2"/>
  </r>
  <r>
    <x v="551"/>
    <s v="Karen Taylor"/>
    <n v="37"/>
    <x v="1"/>
    <x v="275"/>
    <x v="1"/>
    <n v="3"/>
    <x v="1"/>
    <x v="2"/>
    <n v="6193.25"/>
    <n v="0.6"/>
    <x v="1"/>
    <n v="0"/>
    <x v="3"/>
  </r>
  <r>
    <x v="552"/>
    <s v="Donna Jackson"/>
    <n v="72"/>
    <x v="1"/>
    <x v="382"/>
    <x v="38"/>
    <n v="7"/>
    <x v="4"/>
    <x v="11"/>
    <n v="11831.06"/>
    <n v="0.8"/>
    <x v="2"/>
    <n v="0"/>
    <x v="1"/>
  </r>
  <r>
    <x v="553"/>
    <s v="Richard Perez"/>
    <n v="75"/>
    <x v="0"/>
    <x v="284"/>
    <x v="151"/>
    <n v="7"/>
    <x v="2"/>
    <x v="16"/>
    <n v="7790.86"/>
    <n v="1"/>
    <x v="0"/>
    <n v="7790.86"/>
    <x v="1"/>
  </r>
  <r>
    <x v="554"/>
    <s v="Nancy Young"/>
    <n v="27"/>
    <x v="1"/>
    <x v="374"/>
    <x v="190"/>
    <n v="7"/>
    <x v="2"/>
    <x v="8"/>
    <n v="4784.6000000000004"/>
    <n v="0.7"/>
    <x v="0"/>
    <n v="4784.6000000000004"/>
    <x v="2"/>
  </r>
  <r>
    <x v="555"/>
    <s v="James Williams"/>
    <n v="60"/>
    <x v="0"/>
    <x v="383"/>
    <x v="384"/>
    <n v="4"/>
    <x v="0"/>
    <x v="6"/>
    <n v="11688.29"/>
    <n v="0.7"/>
    <x v="2"/>
    <n v="0"/>
    <x v="0"/>
  </r>
  <r>
    <x v="556"/>
    <s v="Richard Perez"/>
    <n v="42"/>
    <x v="0"/>
    <x v="248"/>
    <x v="252"/>
    <n v="8"/>
    <x v="0"/>
    <x v="1"/>
    <n v="18692.25"/>
    <n v="0.7"/>
    <x v="0"/>
    <n v="18692.25"/>
    <x v="3"/>
  </r>
  <r>
    <x v="557"/>
    <s v="Richard Davis"/>
    <n v="10"/>
    <x v="0"/>
    <x v="235"/>
    <x v="385"/>
    <n v="5"/>
    <x v="3"/>
    <x v="9"/>
    <n v="3371.75"/>
    <n v="1"/>
    <x v="0"/>
    <n v="3371.75"/>
    <x v="4"/>
  </r>
  <r>
    <x v="558"/>
    <s v="Barbara Martinez"/>
    <n v="79"/>
    <x v="1"/>
    <x v="384"/>
    <x v="116"/>
    <n v="2"/>
    <x v="1"/>
    <x v="3"/>
    <n v="4382.4799999999996"/>
    <n v="0.7"/>
    <x v="1"/>
    <n v="0"/>
    <x v="1"/>
  </r>
  <r>
    <x v="559"/>
    <s v="Michelle Brown"/>
    <n v="82"/>
    <x v="1"/>
    <x v="385"/>
    <x v="171"/>
    <n v="4"/>
    <x v="2"/>
    <x v="4"/>
    <n v="4088.62"/>
    <n v="0.6"/>
    <x v="2"/>
    <n v="0"/>
    <x v="1"/>
  </r>
  <r>
    <x v="560"/>
    <s v="Mark Lopez"/>
    <n v="7"/>
    <x v="0"/>
    <x v="94"/>
    <x v="386"/>
    <n v="3"/>
    <x v="3"/>
    <x v="37"/>
    <n v="3324.31"/>
    <n v="0.8"/>
    <x v="2"/>
    <n v="0"/>
    <x v="4"/>
  </r>
  <r>
    <x v="561"/>
    <s v="Paul Taylor"/>
    <n v="25"/>
    <x v="0"/>
    <x v="386"/>
    <x v="387"/>
    <n v="8"/>
    <x v="4"/>
    <x v="11"/>
    <n v="9961.07"/>
    <n v="0.7"/>
    <x v="0"/>
    <n v="9961.07"/>
    <x v="2"/>
  </r>
  <r>
    <x v="562"/>
    <s v="Richard Brown"/>
    <n v="77"/>
    <x v="0"/>
    <x v="387"/>
    <x v="388"/>
    <n v="6"/>
    <x v="2"/>
    <x v="16"/>
    <n v="8841.14"/>
    <n v="0"/>
    <x v="0"/>
    <n v="8841.14"/>
    <x v="1"/>
  </r>
  <r>
    <x v="563"/>
    <s v="David Williams"/>
    <n v="3"/>
    <x v="0"/>
    <x v="388"/>
    <x v="28"/>
    <n v="3"/>
    <x v="3"/>
    <x v="9"/>
    <n v="5228.9399999999996"/>
    <n v="0.5"/>
    <x v="1"/>
    <n v="0"/>
    <x v="4"/>
  </r>
  <r>
    <x v="564"/>
    <s v="Daniel Williams"/>
    <n v="47"/>
    <x v="0"/>
    <x v="46"/>
    <x v="345"/>
    <n v="5"/>
    <x v="2"/>
    <x v="21"/>
    <n v="6395.28"/>
    <n v="0.9"/>
    <x v="0"/>
    <n v="6395.28"/>
    <x v="3"/>
  </r>
  <r>
    <x v="565"/>
    <s v="Jennifer Young"/>
    <n v="68"/>
    <x v="1"/>
    <x v="384"/>
    <x v="199"/>
    <n v="1"/>
    <x v="2"/>
    <x v="16"/>
    <n v="973.65"/>
    <n v="0.8"/>
    <x v="1"/>
    <n v="0"/>
    <x v="1"/>
  </r>
  <r>
    <x v="566"/>
    <s v="Joshua Garcia"/>
    <n v="52"/>
    <x v="0"/>
    <x v="389"/>
    <x v="389"/>
    <n v="5"/>
    <x v="0"/>
    <x v="6"/>
    <n v="10137.39"/>
    <n v="0.7"/>
    <x v="2"/>
    <n v="0"/>
    <x v="0"/>
  </r>
  <r>
    <x v="567"/>
    <s v="Ashley Moore"/>
    <n v="28"/>
    <x v="1"/>
    <x v="161"/>
    <x v="390"/>
    <n v="12"/>
    <x v="4"/>
    <x v="14"/>
    <n v="22947.49"/>
    <n v="0.8"/>
    <x v="0"/>
    <n v="22947.49"/>
    <x v="2"/>
  </r>
  <r>
    <x v="568"/>
    <s v="Kevin Anderson"/>
    <n v="67"/>
    <x v="0"/>
    <x v="193"/>
    <x v="391"/>
    <n v="2"/>
    <x v="4"/>
    <x v="26"/>
    <n v="2438.71"/>
    <n v="0.7"/>
    <x v="2"/>
    <n v="0"/>
    <x v="1"/>
  </r>
  <r>
    <x v="569"/>
    <s v="Barbara Smith"/>
    <n v="55"/>
    <x v="1"/>
    <x v="352"/>
    <x v="177"/>
    <n v="2"/>
    <x v="1"/>
    <x v="36"/>
    <n v="1963.87"/>
    <n v="0.8"/>
    <x v="2"/>
    <n v="0"/>
    <x v="0"/>
  </r>
  <r>
    <x v="570"/>
    <s v="Andrew White"/>
    <n v="12"/>
    <x v="0"/>
    <x v="155"/>
    <x v="392"/>
    <n v="3"/>
    <x v="3"/>
    <x v="24"/>
    <n v="3527.16"/>
    <n v="0.7"/>
    <x v="0"/>
    <n v="3527.16"/>
    <x v="4"/>
  </r>
  <r>
    <x v="571"/>
    <s v="Richard Thomas"/>
    <n v="35"/>
    <x v="0"/>
    <x v="194"/>
    <x v="220"/>
    <n v="3"/>
    <x v="1"/>
    <x v="36"/>
    <n v="5342.79"/>
    <n v="0.7"/>
    <x v="0"/>
    <n v="5342.79"/>
    <x v="2"/>
  </r>
  <r>
    <x v="572"/>
    <s v="Betty Jackson"/>
    <n v="30"/>
    <x v="1"/>
    <x v="390"/>
    <x v="393"/>
    <n v="12"/>
    <x v="4"/>
    <x v="14"/>
    <n v="30203.49"/>
    <n v="1"/>
    <x v="1"/>
    <n v="0"/>
    <x v="2"/>
  </r>
  <r>
    <x v="573"/>
    <s v="Joshua Clark"/>
    <n v="69"/>
    <x v="0"/>
    <x v="391"/>
    <x v="81"/>
    <n v="6"/>
    <x v="4"/>
    <x v="14"/>
    <n v="7312.84"/>
    <n v="0.7"/>
    <x v="1"/>
    <n v="0"/>
    <x v="1"/>
  </r>
  <r>
    <x v="574"/>
    <s v="Sarah Robinson"/>
    <n v="34"/>
    <x v="1"/>
    <x v="235"/>
    <x v="68"/>
    <n v="4"/>
    <x v="2"/>
    <x v="33"/>
    <n v="4926.28"/>
    <n v="0.9"/>
    <x v="0"/>
    <n v="4926.28"/>
    <x v="2"/>
  </r>
  <r>
    <x v="575"/>
    <s v="Kimberly Moore"/>
    <n v="84"/>
    <x v="1"/>
    <x v="269"/>
    <x v="42"/>
    <n v="2"/>
    <x v="1"/>
    <x v="3"/>
    <n v="3526.66"/>
    <n v="1"/>
    <x v="2"/>
    <n v="0"/>
    <x v="1"/>
  </r>
  <r>
    <x v="576"/>
    <s v="Kimberly Jones"/>
    <n v="76"/>
    <x v="1"/>
    <x v="392"/>
    <x v="274"/>
    <n v="4"/>
    <x v="2"/>
    <x v="21"/>
    <n v="3004.47"/>
    <n v="0.8"/>
    <x v="0"/>
    <n v="3004.47"/>
    <x v="1"/>
  </r>
  <r>
    <x v="577"/>
    <s v="Michael Brown"/>
    <n v="55"/>
    <x v="0"/>
    <x v="136"/>
    <x v="32"/>
    <n v="1"/>
    <x v="1"/>
    <x v="31"/>
    <n v="988.47"/>
    <n v="0.9"/>
    <x v="0"/>
    <n v="988.47"/>
    <x v="0"/>
  </r>
  <r>
    <x v="578"/>
    <s v="Jennifer Lee"/>
    <n v="63"/>
    <x v="1"/>
    <x v="286"/>
    <x v="394"/>
    <n v="7"/>
    <x v="0"/>
    <x v="29"/>
    <n v="8993.9699999999993"/>
    <n v="0.6"/>
    <x v="0"/>
    <n v="8993.9699999999993"/>
    <x v="0"/>
  </r>
  <r>
    <x v="579"/>
    <s v="Anthony Moore"/>
    <n v="66"/>
    <x v="0"/>
    <x v="393"/>
    <x v="395"/>
    <n v="4"/>
    <x v="0"/>
    <x v="19"/>
    <n v="7934.14"/>
    <n v="0.8"/>
    <x v="0"/>
    <n v="7934.14"/>
    <x v="1"/>
  </r>
  <r>
    <x v="580"/>
    <s v="Elizabeth Thomas"/>
    <n v="35"/>
    <x v="1"/>
    <x v="394"/>
    <x v="396"/>
    <n v="3"/>
    <x v="1"/>
    <x v="32"/>
    <n v="2517.29"/>
    <n v="0.8"/>
    <x v="0"/>
    <n v="2517.29"/>
    <x v="2"/>
  </r>
  <r>
    <x v="581"/>
    <s v="William Hernandez"/>
    <n v="48"/>
    <x v="0"/>
    <x v="395"/>
    <x v="397"/>
    <n v="8"/>
    <x v="0"/>
    <x v="0"/>
    <n v="12873.58"/>
    <n v="0.7"/>
    <x v="1"/>
    <n v="0"/>
    <x v="3"/>
  </r>
  <r>
    <x v="582"/>
    <s v="Barbara Martin"/>
    <n v="73"/>
    <x v="1"/>
    <x v="269"/>
    <x v="244"/>
    <n v="4"/>
    <x v="2"/>
    <x v="4"/>
    <n v="5208.9799999999996"/>
    <n v="0.8"/>
    <x v="0"/>
    <n v="5208.9799999999996"/>
    <x v="1"/>
  </r>
  <r>
    <x v="583"/>
    <s v="Joseph Davis"/>
    <n v="80"/>
    <x v="0"/>
    <x v="396"/>
    <x v="264"/>
    <n v="9"/>
    <x v="0"/>
    <x v="1"/>
    <n v="16136.12"/>
    <n v="1"/>
    <x v="0"/>
    <n v="16136.12"/>
    <x v="1"/>
  </r>
  <r>
    <x v="584"/>
    <s v="Lisa Thomas"/>
    <n v="10"/>
    <x v="1"/>
    <x v="397"/>
    <x v="398"/>
    <n v="4"/>
    <x v="3"/>
    <x v="23"/>
    <n v="4827.5"/>
    <n v="0.8"/>
    <x v="2"/>
    <n v="0"/>
    <x v="4"/>
  </r>
  <r>
    <x v="585"/>
    <s v="Kenneth Jones"/>
    <n v="19"/>
    <x v="0"/>
    <x v="252"/>
    <x v="356"/>
    <n v="3"/>
    <x v="1"/>
    <x v="3"/>
    <n v="6858.75"/>
    <n v="0.8"/>
    <x v="1"/>
    <n v="0"/>
    <x v="2"/>
  </r>
  <r>
    <x v="586"/>
    <s v="Lisa Smith"/>
    <n v="9"/>
    <x v="1"/>
    <x v="88"/>
    <x v="399"/>
    <n v="5"/>
    <x v="3"/>
    <x v="24"/>
    <n v="6485.39"/>
    <n v="0.7"/>
    <x v="2"/>
    <n v="0"/>
    <x v="4"/>
  </r>
  <r>
    <x v="587"/>
    <s v="Anthony Miller"/>
    <n v="71"/>
    <x v="0"/>
    <x v="398"/>
    <x v="12"/>
    <n v="4"/>
    <x v="2"/>
    <x v="10"/>
    <n v="5888.84"/>
    <n v="0.6"/>
    <x v="0"/>
    <n v="5888.84"/>
    <x v="1"/>
  </r>
  <r>
    <x v="588"/>
    <s v="William Lopez"/>
    <n v="57"/>
    <x v="0"/>
    <x v="70"/>
    <x v="269"/>
    <n v="1"/>
    <x v="2"/>
    <x v="21"/>
    <n v="988.37"/>
    <n v="0.9"/>
    <x v="0"/>
    <n v="988.37"/>
    <x v="0"/>
  </r>
  <r>
    <x v="589"/>
    <s v="Thomas Harris"/>
    <n v="41"/>
    <x v="0"/>
    <x v="377"/>
    <x v="400"/>
    <n v="13"/>
    <x v="4"/>
    <x v="26"/>
    <n v="20871.689999999999"/>
    <n v="0.6"/>
    <x v="2"/>
    <n v="0"/>
    <x v="3"/>
  </r>
  <r>
    <x v="590"/>
    <s v="Lisa Jackson"/>
    <n v="44"/>
    <x v="1"/>
    <x v="142"/>
    <x v="333"/>
    <n v="6"/>
    <x v="5"/>
    <x v="28"/>
    <n v="14061.87"/>
    <n v="0.5"/>
    <x v="0"/>
    <n v="14061.87"/>
    <x v="3"/>
  </r>
  <r>
    <x v="591"/>
    <s v="Andrew Hernandez"/>
    <n v="74"/>
    <x v="0"/>
    <x v="238"/>
    <x v="401"/>
    <n v="3"/>
    <x v="2"/>
    <x v="5"/>
    <n v="3702.92"/>
    <n v="0.7"/>
    <x v="1"/>
    <n v="0"/>
    <x v="1"/>
  </r>
  <r>
    <x v="592"/>
    <s v="Christopher Jackson"/>
    <n v="42"/>
    <x v="0"/>
    <x v="133"/>
    <x v="133"/>
    <n v="4"/>
    <x v="0"/>
    <x v="19"/>
    <n v="6940.9"/>
    <n v="0.7"/>
    <x v="0"/>
    <n v="6940.9"/>
    <x v="3"/>
  </r>
  <r>
    <x v="593"/>
    <s v="Joseph Clark"/>
    <n v="74"/>
    <x v="0"/>
    <x v="132"/>
    <x v="136"/>
    <n v="9"/>
    <x v="0"/>
    <x v="1"/>
    <n v="25312.2"/>
    <n v="0.7"/>
    <x v="1"/>
    <n v="0"/>
    <x v="1"/>
  </r>
  <r>
    <x v="594"/>
    <s v="Brian Clark"/>
    <n v="20"/>
    <x v="0"/>
    <x v="399"/>
    <x v="34"/>
    <n v="3"/>
    <x v="1"/>
    <x v="31"/>
    <n v="4859.2700000000004"/>
    <n v="0.6"/>
    <x v="1"/>
    <n v="0"/>
    <x v="2"/>
  </r>
  <r>
    <x v="595"/>
    <s v="Dorothy Garcia"/>
    <n v="7"/>
    <x v="1"/>
    <x v="400"/>
    <x v="402"/>
    <n v="4"/>
    <x v="3"/>
    <x v="25"/>
    <n v="5071.3900000000003"/>
    <n v="0.9"/>
    <x v="2"/>
    <n v="0"/>
    <x v="4"/>
  </r>
  <r>
    <x v="596"/>
    <s v="Dorothy Robinson"/>
    <n v="46"/>
    <x v="1"/>
    <x v="401"/>
    <x v="403"/>
    <n v="1"/>
    <x v="2"/>
    <x v="8"/>
    <n v="826.69"/>
    <n v="0.8"/>
    <x v="0"/>
    <n v="826.69"/>
    <x v="3"/>
  </r>
  <r>
    <x v="597"/>
    <s v="Kenneth Thomas"/>
    <n v="75"/>
    <x v="0"/>
    <x v="30"/>
    <x v="30"/>
    <n v="3"/>
    <x v="1"/>
    <x v="2"/>
    <n v="3573.44"/>
    <n v="0.8"/>
    <x v="0"/>
    <n v="3573.44"/>
    <x v="1"/>
  </r>
  <r>
    <x v="598"/>
    <s v="Betty Davis"/>
    <n v="17"/>
    <x v="1"/>
    <x v="4"/>
    <x v="404"/>
    <n v="2"/>
    <x v="3"/>
    <x v="25"/>
    <n v="3120.86"/>
    <n v="0.7"/>
    <x v="0"/>
    <n v="3120.86"/>
    <x v="4"/>
  </r>
  <r>
    <x v="599"/>
    <s v="Jessica Anderson"/>
    <n v="36"/>
    <x v="1"/>
    <x v="402"/>
    <x v="34"/>
    <n v="1"/>
    <x v="1"/>
    <x v="32"/>
    <n v="1050.82"/>
    <n v="0.7"/>
    <x v="1"/>
    <n v="0"/>
    <x v="3"/>
  </r>
  <r>
    <x v="600"/>
    <s v="Barbara Hernandez"/>
    <n v="58"/>
    <x v="1"/>
    <x v="403"/>
    <x v="405"/>
    <n v="3"/>
    <x v="1"/>
    <x v="2"/>
    <n v="4246.95"/>
    <n v="0.7"/>
    <x v="2"/>
    <n v="0"/>
    <x v="0"/>
  </r>
  <r>
    <x v="601"/>
    <s v="Daniel Moore"/>
    <n v="24"/>
    <x v="0"/>
    <x v="404"/>
    <x v="406"/>
    <n v="3"/>
    <x v="1"/>
    <x v="36"/>
    <n v="3111.41"/>
    <n v="0.9"/>
    <x v="0"/>
    <n v="3111.41"/>
    <x v="2"/>
  </r>
  <r>
    <x v="602"/>
    <s v="Ashley Moore"/>
    <n v="56"/>
    <x v="1"/>
    <x v="100"/>
    <x v="173"/>
    <n v="5"/>
    <x v="2"/>
    <x v="4"/>
    <n v="6980.98"/>
    <n v="0.9"/>
    <x v="0"/>
    <n v="6980.98"/>
    <x v="0"/>
  </r>
  <r>
    <x v="603"/>
    <s v="Paul Smith"/>
    <n v="41"/>
    <x v="0"/>
    <x v="405"/>
    <x v="407"/>
    <n v="9"/>
    <x v="5"/>
    <x v="30"/>
    <n v="11620.41"/>
    <n v="1"/>
    <x v="0"/>
    <n v="11620.41"/>
    <x v="3"/>
  </r>
  <r>
    <x v="604"/>
    <s v="Donna Ramirez"/>
    <n v="50"/>
    <x v="1"/>
    <x v="406"/>
    <x v="229"/>
    <n v="3"/>
    <x v="1"/>
    <x v="3"/>
    <n v="3974.41"/>
    <n v="0.5"/>
    <x v="0"/>
    <n v="3974.41"/>
    <x v="3"/>
  </r>
  <r>
    <x v="605"/>
    <s v="Richard Robinson"/>
    <n v="72"/>
    <x v="0"/>
    <x v="407"/>
    <x v="408"/>
    <n v="6"/>
    <x v="5"/>
    <x v="28"/>
    <n v="14702.17"/>
    <n v="0.8"/>
    <x v="1"/>
    <n v="0"/>
    <x v="1"/>
  </r>
  <r>
    <x v="606"/>
    <s v="Thomas Perez"/>
    <n v="41"/>
    <x v="0"/>
    <x v="408"/>
    <x v="283"/>
    <n v="7"/>
    <x v="0"/>
    <x v="29"/>
    <n v="17086.830000000002"/>
    <n v="0.9"/>
    <x v="0"/>
    <n v="17086.830000000002"/>
    <x v="3"/>
  </r>
  <r>
    <x v="607"/>
    <s v="Richard Anderson"/>
    <n v="24"/>
    <x v="0"/>
    <x v="377"/>
    <x v="214"/>
    <n v="1"/>
    <x v="1"/>
    <x v="15"/>
    <n v="867.61"/>
    <n v="1"/>
    <x v="0"/>
    <n v="867.61"/>
    <x v="2"/>
  </r>
  <r>
    <x v="608"/>
    <s v="Dorothy Martin"/>
    <n v="51"/>
    <x v="1"/>
    <x v="213"/>
    <x v="93"/>
    <n v="6"/>
    <x v="2"/>
    <x v="4"/>
    <n v="4084.48"/>
    <n v="0.8"/>
    <x v="0"/>
    <n v="4084.48"/>
    <x v="0"/>
  </r>
  <r>
    <x v="609"/>
    <s v="Kimberly Lee"/>
    <n v="84"/>
    <x v="1"/>
    <x v="94"/>
    <x v="100"/>
    <n v="1"/>
    <x v="2"/>
    <x v="5"/>
    <n v="1290.53"/>
    <n v="0.9"/>
    <x v="0"/>
    <n v="1290.53"/>
    <x v="1"/>
  </r>
  <r>
    <x v="610"/>
    <s v="Ashley Martinez"/>
    <n v="3"/>
    <x v="1"/>
    <x v="38"/>
    <x v="409"/>
    <n v="4"/>
    <x v="3"/>
    <x v="24"/>
    <n v="3707.94"/>
    <n v="0.9"/>
    <x v="0"/>
    <n v="3707.94"/>
    <x v="4"/>
  </r>
  <r>
    <x v="611"/>
    <s v="Joseph Jones"/>
    <n v="57"/>
    <x v="0"/>
    <x v="409"/>
    <x v="410"/>
    <n v="9"/>
    <x v="5"/>
    <x v="12"/>
    <n v="15346.13"/>
    <n v="0.8"/>
    <x v="0"/>
    <n v="15346.13"/>
    <x v="0"/>
  </r>
  <r>
    <x v="612"/>
    <s v="Sarah Moore"/>
    <n v="45"/>
    <x v="1"/>
    <x v="125"/>
    <x v="181"/>
    <n v="5"/>
    <x v="2"/>
    <x v="10"/>
    <n v="4821.37"/>
    <n v="0.8"/>
    <x v="0"/>
    <n v="4821.37"/>
    <x v="3"/>
  </r>
  <r>
    <x v="613"/>
    <s v="Paul Hernandez"/>
    <n v="69"/>
    <x v="0"/>
    <x v="410"/>
    <x v="90"/>
    <n v="7"/>
    <x v="0"/>
    <x v="19"/>
    <n v="15787.69"/>
    <n v="1"/>
    <x v="0"/>
    <n v="15787.69"/>
    <x v="1"/>
  </r>
  <r>
    <x v="614"/>
    <s v="Kimberly Jones"/>
    <n v="14"/>
    <x v="1"/>
    <x v="394"/>
    <x v="396"/>
    <n v="3"/>
    <x v="3"/>
    <x v="23"/>
    <n v="5118.0600000000004"/>
    <n v="0.8"/>
    <x v="0"/>
    <n v="5118.0600000000004"/>
    <x v="4"/>
  </r>
  <r>
    <x v="615"/>
    <s v="Sandra Lewis"/>
    <n v="36"/>
    <x v="1"/>
    <x v="38"/>
    <x v="164"/>
    <n v="1"/>
    <x v="1"/>
    <x v="7"/>
    <n v="1184.98"/>
    <n v="0.8"/>
    <x v="0"/>
    <n v="1184.98"/>
    <x v="3"/>
  </r>
  <r>
    <x v="616"/>
    <s v="Nancy Martinez"/>
    <n v="16"/>
    <x v="1"/>
    <x v="411"/>
    <x v="332"/>
    <n v="3"/>
    <x v="3"/>
    <x v="37"/>
    <n v="2558.2800000000002"/>
    <n v="0.9"/>
    <x v="0"/>
    <n v="2558.2800000000002"/>
    <x v="4"/>
  </r>
  <r>
    <x v="617"/>
    <s v="Daniel Robinson"/>
    <n v="76"/>
    <x v="0"/>
    <x v="268"/>
    <x v="275"/>
    <n v="3"/>
    <x v="0"/>
    <x v="20"/>
    <n v="3998.34"/>
    <n v="1"/>
    <x v="0"/>
    <n v="3998.34"/>
    <x v="1"/>
  </r>
  <r>
    <x v="618"/>
    <s v="Lisa Brown"/>
    <n v="68"/>
    <x v="1"/>
    <x v="175"/>
    <x v="411"/>
    <n v="3"/>
    <x v="4"/>
    <x v="13"/>
    <n v="4286.6400000000003"/>
    <n v="0.7"/>
    <x v="1"/>
    <n v="0"/>
    <x v="1"/>
  </r>
  <r>
    <x v="619"/>
    <s v="Mary Garcia"/>
    <n v="73"/>
    <x v="1"/>
    <x v="412"/>
    <x v="412"/>
    <n v="9"/>
    <x v="0"/>
    <x v="6"/>
    <n v="21392.04"/>
    <n v="0.8"/>
    <x v="0"/>
    <n v="21392.04"/>
    <x v="1"/>
  </r>
  <r>
    <x v="620"/>
    <s v="Robert Ramirez"/>
    <n v="37"/>
    <x v="0"/>
    <x v="353"/>
    <x v="166"/>
    <n v="2"/>
    <x v="1"/>
    <x v="7"/>
    <n v="3201.39"/>
    <n v="0.8"/>
    <x v="0"/>
    <n v="3201.39"/>
    <x v="3"/>
  </r>
  <r>
    <x v="621"/>
    <s v="Anthony Clark"/>
    <n v="11"/>
    <x v="0"/>
    <x v="413"/>
    <x v="413"/>
    <n v="2"/>
    <x v="3"/>
    <x v="23"/>
    <n v="3300.07"/>
    <n v="1"/>
    <x v="0"/>
    <n v="3300.07"/>
    <x v="4"/>
  </r>
  <r>
    <x v="622"/>
    <s v="Paul Martinez"/>
    <n v="7"/>
    <x v="0"/>
    <x v="414"/>
    <x v="414"/>
    <n v="1"/>
    <x v="3"/>
    <x v="24"/>
    <n v="784.49"/>
    <n v="0.9"/>
    <x v="0"/>
    <n v="784.49"/>
    <x v="4"/>
  </r>
  <r>
    <x v="623"/>
    <s v="Brian Lopez"/>
    <n v="26"/>
    <x v="0"/>
    <x v="15"/>
    <x v="292"/>
    <n v="1"/>
    <x v="2"/>
    <x v="8"/>
    <n v="1170.5999999999999"/>
    <n v="0.8"/>
    <x v="0"/>
    <n v="1170.5999999999999"/>
    <x v="2"/>
  </r>
  <r>
    <x v="624"/>
    <s v="Richard Rodriguez"/>
    <n v="61"/>
    <x v="0"/>
    <x v="415"/>
    <x v="415"/>
    <n v="4"/>
    <x v="0"/>
    <x v="0"/>
    <n v="11503.8"/>
    <n v="0.6"/>
    <x v="2"/>
    <n v="0"/>
    <x v="0"/>
  </r>
  <r>
    <x v="625"/>
    <s v="Jessica Ramirez"/>
    <n v="8"/>
    <x v="1"/>
    <x v="416"/>
    <x v="263"/>
    <n v="2"/>
    <x v="3"/>
    <x v="25"/>
    <n v="1522.86"/>
    <n v="0.9"/>
    <x v="1"/>
    <n v="0"/>
    <x v="4"/>
  </r>
  <r>
    <x v="626"/>
    <s v="Sandra Jackson"/>
    <n v="78"/>
    <x v="1"/>
    <x v="177"/>
    <x v="416"/>
    <n v="10"/>
    <x v="5"/>
    <x v="17"/>
    <n v="22757.119999999999"/>
    <n v="0.9"/>
    <x v="0"/>
    <n v="22757.119999999999"/>
    <x v="1"/>
  </r>
  <r>
    <x v="627"/>
    <s v="Daniel Jones"/>
    <n v="11"/>
    <x v="0"/>
    <x v="417"/>
    <x v="341"/>
    <n v="5"/>
    <x v="3"/>
    <x v="24"/>
    <n v="3197.15"/>
    <n v="0.7"/>
    <x v="2"/>
    <n v="0"/>
    <x v="4"/>
  </r>
  <r>
    <x v="628"/>
    <s v="Sarah Ramirez"/>
    <n v="73"/>
    <x v="1"/>
    <x v="303"/>
    <x v="124"/>
    <n v="2"/>
    <x v="2"/>
    <x v="4"/>
    <n v="2710.85"/>
    <n v="0.6"/>
    <x v="1"/>
    <n v="0"/>
    <x v="1"/>
  </r>
  <r>
    <x v="629"/>
    <s v="Michelle Young"/>
    <n v="84"/>
    <x v="1"/>
    <x v="404"/>
    <x v="417"/>
    <n v="2"/>
    <x v="1"/>
    <x v="31"/>
    <n v="4532.09"/>
    <n v="0.9"/>
    <x v="1"/>
    <n v="0"/>
    <x v="1"/>
  </r>
  <r>
    <x v="630"/>
    <s v="Daniel Hernandez"/>
    <n v="43"/>
    <x v="0"/>
    <x v="300"/>
    <x v="418"/>
    <n v="3"/>
    <x v="4"/>
    <x v="11"/>
    <n v="4972.62"/>
    <n v="0.8"/>
    <x v="0"/>
    <n v="4972.62"/>
    <x v="3"/>
  </r>
  <r>
    <x v="631"/>
    <s v="Robert Rodriguez"/>
    <n v="1"/>
    <x v="0"/>
    <x v="418"/>
    <x v="419"/>
    <n v="2"/>
    <x v="3"/>
    <x v="37"/>
    <n v="3235.05"/>
    <n v="0.7"/>
    <x v="0"/>
    <n v="3235.05"/>
    <x v="4"/>
  </r>
  <r>
    <x v="632"/>
    <s v="Emily Jones"/>
    <n v="49"/>
    <x v="1"/>
    <x v="270"/>
    <x v="118"/>
    <n v="2"/>
    <x v="2"/>
    <x v="21"/>
    <n v="2401.17"/>
    <n v="0.9"/>
    <x v="1"/>
    <n v="0"/>
    <x v="3"/>
  </r>
  <r>
    <x v="633"/>
    <s v="Donna Garcia"/>
    <n v="51"/>
    <x v="1"/>
    <x v="419"/>
    <x v="268"/>
    <n v="12"/>
    <x v="4"/>
    <x v="27"/>
    <n v="33210.050000000003"/>
    <n v="0.8"/>
    <x v="1"/>
    <n v="0"/>
    <x v="0"/>
  </r>
  <r>
    <x v="634"/>
    <s v="Donna Lewis"/>
    <n v="73"/>
    <x v="1"/>
    <x v="38"/>
    <x v="209"/>
    <n v="10"/>
    <x v="4"/>
    <x v="13"/>
    <n v="23689.65"/>
    <n v="0.9"/>
    <x v="0"/>
    <n v="23689.65"/>
    <x v="1"/>
  </r>
  <r>
    <x v="635"/>
    <s v="Steven Thompson"/>
    <n v="26"/>
    <x v="0"/>
    <x v="420"/>
    <x v="420"/>
    <n v="3"/>
    <x v="2"/>
    <x v="4"/>
    <n v="2927.98"/>
    <n v="1"/>
    <x v="0"/>
    <n v="2927.98"/>
    <x v="2"/>
  </r>
  <r>
    <x v="636"/>
    <s v="Karen Thomas"/>
    <n v="58"/>
    <x v="1"/>
    <x v="421"/>
    <x v="421"/>
    <n v="9"/>
    <x v="0"/>
    <x v="19"/>
    <n v="10908.77"/>
    <n v="0.9"/>
    <x v="1"/>
    <n v="0"/>
    <x v="0"/>
  </r>
  <r>
    <x v="637"/>
    <s v="Thomas Martinez"/>
    <n v="65"/>
    <x v="0"/>
    <x v="107"/>
    <x v="50"/>
    <n v="5"/>
    <x v="0"/>
    <x v="1"/>
    <n v="9405.2000000000007"/>
    <n v="0.7"/>
    <x v="1"/>
    <n v="0"/>
    <x v="0"/>
  </r>
  <r>
    <x v="638"/>
    <s v="Jennifer Harris"/>
    <n v="37"/>
    <x v="1"/>
    <x v="247"/>
    <x v="422"/>
    <n v="8"/>
    <x v="5"/>
    <x v="12"/>
    <n v="11960.8"/>
    <n v="0.8"/>
    <x v="0"/>
    <n v="11960.8"/>
    <x v="3"/>
  </r>
  <r>
    <x v="639"/>
    <s v="Michael Garcia"/>
    <n v="68"/>
    <x v="0"/>
    <x v="422"/>
    <x v="423"/>
    <n v="1"/>
    <x v="2"/>
    <x v="8"/>
    <n v="1174.7"/>
    <n v="0.9"/>
    <x v="1"/>
    <n v="0"/>
    <x v="1"/>
  </r>
  <r>
    <x v="640"/>
    <s v="Kenneth Lee"/>
    <n v="41"/>
    <x v="0"/>
    <x v="423"/>
    <x v="388"/>
    <n v="7"/>
    <x v="2"/>
    <x v="33"/>
    <n v="6487.34"/>
    <n v="0.8"/>
    <x v="0"/>
    <n v="6487.34"/>
    <x v="3"/>
  </r>
  <r>
    <x v="641"/>
    <s v="Anthony Moore"/>
    <n v="40"/>
    <x v="0"/>
    <x v="65"/>
    <x v="181"/>
    <n v="2"/>
    <x v="1"/>
    <x v="36"/>
    <n v="3282.55"/>
    <n v="0.7"/>
    <x v="1"/>
    <n v="0"/>
    <x v="3"/>
  </r>
  <r>
    <x v="642"/>
    <s v="Ashley Jones"/>
    <n v="55"/>
    <x v="1"/>
    <x v="198"/>
    <x v="424"/>
    <n v="6"/>
    <x v="4"/>
    <x v="14"/>
    <n v="13468.92"/>
    <n v="0.8"/>
    <x v="0"/>
    <n v="13468.92"/>
    <x v="0"/>
  </r>
  <r>
    <x v="643"/>
    <s v="Thomas Thompson"/>
    <n v="76"/>
    <x v="0"/>
    <x v="230"/>
    <x v="231"/>
    <n v="5"/>
    <x v="0"/>
    <x v="0"/>
    <n v="7431.19"/>
    <n v="0.8"/>
    <x v="1"/>
    <n v="0"/>
    <x v="1"/>
  </r>
  <r>
    <x v="644"/>
    <s v="Nancy Davis"/>
    <n v="77"/>
    <x v="1"/>
    <x v="88"/>
    <x v="425"/>
    <n v="4"/>
    <x v="5"/>
    <x v="17"/>
    <n v="4416.84"/>
    <n v="0.8"/>
    <x v="2"/>
    <n v="0"/>
    <x v="1"/>
  </r>
  <r>
    <x v="645"/>
    <s v="Michael Johnson"/>
    <n v="77"/>
    <x v="0"/>
    <x v="10"/>
    <x v="157"/>
    <n v="1"/>
    <x v="1"/>
    <x v="2"/>
    <n v="1265.79"/>
    <n v="0.8"/>
    <x v="1"/>
    <n v="0"/>
    <x v="1"/>
  </r>
  <r>
    <x v="646"/>
    <s v="Linda Davis"/>
    <n v="47"/>
    <x v="1"/>
    <x v="184"/>
    <x v="426"/>
    <n v="5"/>
    <x v="2"/>
    <x v="21"/>
    <n v="7496.19"/>
    <n v="0.8"/>
    <x v="0"/>
    <n v="7496.19"/>
    <x v="3"/>
  </r>
  <r>
    <x v="647"/>
    <s v="Jennifer Jackson"/>
    <n v="46"/>
    <x v="1"/>
    <x v="424"/>
    <x v="238"/>
    <n v="4"/>
    <x v="2"/>
    <x v="5"/>
    <n v="5991.42"/>
    <n v="1"/>
    <x v="2"/>
    <n v="0"/>
    <x v="3"/>
  </r>
  <r>
    <x v="648"/>
    <s v="Thomas Jones"/>
    <n v="62"/>
    <x v="0"/>
    <x v="315"/>
    <x v="45"/>
    <n v="10"/>
    <x v="0"/>
    <x v="0"/>
    <n v="12878.2"/>
    <n v="0.8"/>
    <x v="0"/>
    <n v="12878.2"/>
    <x v="0"/>
  </r>
  <r>
    <x v="649"/>
    <s v="Steven Walker"/>
    <n v="5"/>
    <x v="0"/>
    <x v="425"/>
    <x v="14"/>
    <n v="4"/>
    <x v="3"/>
    <x v="25"/>
    <n v="4752.84"/>
    <n v="0.8"/>
    <x v="0"/>
    <n v="4752.84"/>
    <x v="4"/>
  </r>
  <r>
    <x v="650"/>
    <s v="Thomas Robinson"/>
    <n v="34"/>
    <x v="0"/>
    <x v="56"/>
    <x v="427"/>
    <n v="1"/>
    <x v="2"/>
    <x v="10"/>
    <n v="1394.75"/>
    <n v="0"/>
    <x v="1"/>
    <n v="0"/>
    <x v="2"/>
  </r>
  <r>
    <x v="651"/>
    <s v="Michael Thomas"/>
    <n v="59"/>
    <x v="0"/>
    <x v="273"/>
    <x v="191"/>
    <n v="2"/>
    <x v="1"/>
    <x v="3"/>
    <n v="3366.33"/>
    <n v="0.7"/>
    <x v="1"/>
    <n v="0"/>
    <x v="0"/>
  </r>
  <r>
    <x v="652"/>
    <s v="Sarah Young"/>
    <n v="65"/>
    <x v="1"/>
    <x v="84"/>
    <x v="169"/>
    <n v="6"/>
    <x v="0"/>
    <x v="1"/>
    <n v="9890.23"/>
    <n v="0.8"/>
    <x v="0"/>
    <n v="9890.23"/>
    <x v="0"/>
  </r>
  <r>
    <x v="653"/>
    <s v="David Wilson"/>
    <n v="44"/>
    <x v="0"/>
    <x v="426"/>
    <x v="329"/>
    <n v="4"/>
    <x v="0"/>
    <x v="0"/>
    <n v="10351.120000000001"/>
    <n v="0.8"/>
    <x v="1"/>
    <n v="0"/>
    <x v="3"/>
  </r>
  <r>
    <x v="654"/>
    <s v="Steven Walker"/>
    <n v="17"/>
    <x v="0"/>
    <x v="427"/>
    <x v="428"/>
    <n v="1"/>
    <x v="3"/>
    <x v="9"/>
    <n v="836.96"/>
    <n v="0.7"/>
    <x v="0"/>
    <n v="836.96"/>
    <x v="4"/>
  </r>
  <r>
    <x v="655"/>
    <s v="Dorothy Perez"/>
    <n v="16"/>
    <x v="1"/>
    <x v="140"/>
    <x v="5"/>
    <n v="5"/>
    <x v="3"/>
    <x v="22"/>
    <n v="6886.9"/>
    <n v="0.5"/>
    <x v="1"/>
    <n v="0"/>
    <x v="4"/>
  </r>
  <r>
    <x v="656"/>
    <s v="Kenneth Perez"/>
    <n v="3"/>
    <x v="0"/>
    <x v="428"/>
    <x v="101"/>
    <n v="5"/>
    <x v="3"/>
    <x v="24"/>
    <n v="7993.91"/>
    <n v="0.9"/>
    <x v="2"/>
    <n v="0"/>
    <x v="4"/>
  </r>
  <r>
    <x v="657"/>
    <s v="Richard Moore"/>
    <n v="79"/>
    <x v="0"/>
    <x v="142"/>
    <x v="429"/>
    <n v="7"/>
    <x v="2"/>
    <x v="10"/>
    <n v="9475.6200000000008"/>
    <n v="0.9"/>
    <x v="0"/>
    <n v="9475.6200000000008"/>
    <x v="1"/>
  </r>
  <r>
    <x v="658"/>
    <s v="Kenneth Davis"/>
    <n v="10"/>
    <x v="0"/>
    <x v="357"/>
    <x v="293"/>
    <n v="5"/>
    <x v="3"/>
    <x v="22"/>
    <n v="8509.42"/>
    <n v="0"/>
    <x v="0"/>
    <n v="8509.42"/>
    <x v="4"/>
  </r>
  <r>
    <x v="659"/>
    <s v="Robert Lopez"/>
    <n v="50"/>
    <x v="0"/>
    <x v="429"/>
    <x v="430"/>
    <n v="8"/>
    <x v="4"/>
    <x v="14"/>
    <n v="20107.36"/>
    <n v="0.7"/>
    <x v="0"/>
    <n v="20107.36"/>
    <x v="3"/>
  </r>
  <r>
    <x v="660"/>
    <s v="Matthew Hernandez"/>
    <n v="29"/>
    <x v="0"/>
    <x v="178"/>
    <x v="5"/>
    <n v="10"/>
    <x v="4"/>
    <x v="18"/>
    <n v="26732.79"/>
    <n v="0.8"/>
    <x v="0"/>
    <n v="26732.79"/>
    <x v="2"/>
  </r>
  <r>
    <x v="661"/>
    <s v="Christopher Thompson"/>
    <n v="27"/>
    <x v="0"/>
    <x v="230"/>
    <x v="431"/>
    <n v="1"/>
    <x v="1"/>
    <x v="7"/>
    <n v="2285.5"/>
    <n v="0.5"/>
    <x v="0"/>
    <n v="2285.5"/>
    <x v="2"/>
  </r>
  <r>
    <x v="662"/>
    <s v="Sarah Williams"/>
    <n v="11"/>
    <x v="1"/>
    <x v="430"/>
    <x v="196"/>
    <n v="4"/>
    <x v="3"/>
    <x v="9"/>
    <n v="3830.25"/>
    <n v="0.9"/>
    <x v="1"/>
    <n v="0"/>
    <x v="4"/>
  </r>
  <r>
    <x v="663"/>
    <s v="Donna Brown"/>
    <n v="17"/>
    <x v="1"/>
    <x v="354"/>
    <x v="124"/>
    <n v="5"/>
    <x v="3"/>
    <x v="24"/>
    <n v="3322.2"/>
    <n v="0.6"/>
    <x v="0"/>
    <n v="3322.2"/>
    <x v="4"/>
  </r>
  <r>
    <x v="664"/>
    <s v="Carol Smith"/>
    <n v="42"/>
    <x v="1"/>
    <x v="172"/>
    <x v="300"/>
    <n v="8"/>
    <x v="0"/>
    <x v="6"/>
    <n v="16467.43"/>
    <n v="0.7"/>
    <x v="0"/>
    <n v="16467.43"/>
    <x v="3"/>
  </r>
  <r>
    <x v="665"/>
    <s v="Karen Martinez"/>
    <n v="57"/>
    <x v="1"/>
    <x v="347"/>
    <x v="348"/>
    <n v="5"/>
    <x v="4"/>
    <x v="26"/>
    <n v="11600.46"/>
    <n v="1"/>
    <x v="0"/>
    <n v="11600.46"/>
    <x v="0"/>
  </r>
  <r>
    <x v="666"/>
    <s v="Brian Perez"/>
    <n v="64"/>
    <x v="0"/>
    <x v="431"/>
    <x v="259"/>
    <n v="10"/>
    <x v="5"/>
    <x v="28"/>
    <n v="15327.29"/>
    <n v="0.8"/>
    <x v="0"/>
    <n v="15327.29"/>
    <x v="0"/>
  </r>
  <r>
    <x v="667"/>
    <s v="Kenneth Wilson"/>
    <n v="47"/>
    <x v="0"/>
    <x v="18"/>
    <x v="432"/>
    <n v="7"/>
    <x v="2"/>
    <x v="10"/>
    <n v="6289.07"/>
    <n v="1"/>
    <x v="1"/>
    <n v="0"/>
    <x v="3"/>
  </r>
  <r>
    <x v="668"/>
    <s v="Michelle Anderson"/>
    <n v="45"/>
    <x v="1"/>
    <x v="361"/>
    <x v="180"/>
    <n v="3"/>
    <x v="5"/>
    <x v="35"/>
    <n v="4517.8599999999997"/>
    <n v="0.8"/>
    <x v="1"/>
    <n v="0"/>
    <x v="3"/>
  </r>
  <r>
    <x v="669"/>
    <s v="Kimberly Clark"/>
    <n v="13"/>
    <x v="1"/>
    <x v="432"/>
    <x v="376"/>
    <n v="2"/>
    <x v="3"/>
    <x v="23"/>
    <n v="3226.45"/>
    <n v="0.9"/>
    <x v="0"/>
    <n v="3226.45"/>
    <x v="4"/>
  </r>
  <r>
    <x v="670"/>
    <s v="Elizabeth Harris"/>
    <n v="2"/>
    <x v="1"/>
    <x v="433"/>
    <x v="405"/>
    <n v="2"/>
    <x v="3"/>
    <x v="37"/>
    <n v="1704.46"/>
    <n v="0.6"/>
    <x v="1"/>
    <n v="0"/>
    <x v="4"/>
  </r>
  <r>
    <x v="671"/>
    <s v="Robert Clark"/>
    <n v="55"/>
    <x v="0"/>
    <x v="434"/>
    <x v="294"/>
    <n v="1"/>
    <x v="2"/>
    <x v="16"/>
    <n v="921.05"/>
    <n v="0.7"/>
    <x v="2"/>
    <n v="0"/>
    <x v="0"/>
  </r>
  <r>
    <x v="672"/>
    <s v="Emily Rodriguez"/>
    <n v="78"/>
    <x v="1"/>
    <x v="435"/>
    <x v="266"/>
    <n v="7"/>
    <x v="2"/>
    <x v="21"/>
    <n v="3751.44"/>
    <n v="0.8"/>
    <x v="0"/>
    <n v="3751.44"/>
    <x v="1"/>
  </r>
  <r>
    <x v="673"/>
    <s v="James Lewis"/>
    <n v="73"/>
    <x v="0"/>
    <x v="434"/>
    <x v="433"/>
    <n v="4"/>
    <x v="2"/>
    <x v="5"/>
    <n v="5182.1499999999996"/>
    <n v="0.7"/>
    <x v="2"/>
    <n v="0"/>
    <x v="1"/>
  </r>
  <r>
    <x v="674"/>
    <s v="Richard Williams"/>
    <n v="57"/>
    <x v="0"/>
    <x v="436"/>
    <x v="345"/>
    <n v="6"/>
    <x v="0"/>
    <x v="0"/>
    <n v="13365.24"/>
    <n v="0.7"/>
    <x v="2"/>
    <n v="0"/>
    <x v="0"/>
  </r>
  <r>
    <x v="675"/>
    <s v="Carol Clark"/>
    <n v="75"/>
    <x v="1"/>
    <x v="412"/>
    <x v="331"/>
    <n v="11"/>
    <x v="4"/>
    <x v="18"/>
    <n v="14351.59"/>
    <n v="0.5"/>
    <x v="0"/>
    <n v="14351.59"/>
    <x v="1"/>
  </r>
  <r>
    <x v="676"/>
    <s v="Christopher Thompson"/>
    <n v="2"/>
    <x v="0"/>
    <x v="437"/>
    <x v="434"/>
    <n v="1"/>
    <x v="3"/>
    <x v="23"/>
    <n v="1340.39"/>
    <n v="0.8"/>
    <x v="2"/>
    <n v="0"/>
    <x v="4"/>
  </r>
  <r>
    <x v="677"/>
    <s v="Christopher Garcia"/>
    <n v="61"/>
    <x v="0"/>
    <x v="438"/>
    <x v="435"/>
    <n v="2"/>
    <x v="2"/>
    <x v="33"/>
    <n v="2477.89"/>
    <n v="0.8"/>
    <x v="1"/>
    <n v="0"/>
    <x v="0"/>
  </r>
  <r>
    <x v="678"/>
    <s v="Elizabeth Hernandez"/>
    <n v="6"/>
    <x v="1"/>
    <x v="374"/>
    <x v="41"/>
    <n v="2"/>
    <x v="3"/>
    <x v="25"/>
    <n v="1871.78"/>
    <n v="0.8"/>
    <x v="1"/>
    <n v="0"/>
    <x v="4"/>
  </r>
  <r>
    <x v="679"/>
    <s v="Elizabeth Ramirez"/>
    <n v="36"/>
    <x v="1"/>
    <x v="368"/>
    <x v="176"/>
    <n v="2"/>
    <x v="1"/>
    <x v="31"/>
    <n v="3205.01"/>
    <n v="0.7"/>
    <x v="0"/>
    <n v="3205.01"/>
    <x v="3"/>
  </r>
  <r>
    <x v="680"/>
    <s v="Ashley Clark"/>
    <n v="52"/>
    <x v="1"/>
    <x v="439"/>
    <x v="84"/>
    <n v="1"/>
    <x v="2"/>
    <x v="8"/>
    <n v="1148.98"/>
    <n v="0.5"/>
    <x v="2"/>
    <n v="0"/>
    <x v="0"/>
  </r>
  <r>
    <x v="681"/>
    <s v="Nancy Thomas"/>
    <n v="6"/>
    <x v="1"/>
    <x v="20"/>
    <x v="436"/>
    <n v="2"/>
    <x v="3"/>
    <x v="25"/>
    <n v="2502.7199999999998"/>
    <n v="0.8"/>
    <x v="0"/>
    <n v="2502.7199999999998"/>
    <x v="4"/>
  </r>
  <r>
    <x v="682"/>
    <s v="Joseph Davis"/>
    <n v="68"/>
    <x v="0"/>
    <x v="440"/>
    <x v="437"/>
    <n v="10"/>
    <x v="4"/>
    <x v="18"/>
    <n v="23367.19"/>
    <n v="0.8"/>
    <x v="2"/>
    <n v="0"/>
    <x v="1"/>
  </r>
  <r>
    <x v="683"/>
    <s v="Joseph White"/>
    <n v="54"/>
    <x v="0"/>
    <x v="441"/>
    <x v="49"/>
    <n v="12"/>
    <x v="4"/>
    <x v="14"/>
    <n v="14220.87"/>
    <n v="0.8"/>
    <x v="0"/>
    <n v="14220.87"/>
    <x v="0"/>
  </r>
  <r>
    <x v="684"/>
    <s v="Daniel Jones"/>
    <n v="7"/>
    <x v="0"/>
    <x v="169"/>
    <x v="165"/>
    <n v="3"/>
    <x v="3"/>
    <x v="23"/>
    <n v="2954.11"/>
    <n v="0.8"/>
    <x v="0"/>
    <n v="2954.11"/>
    <x v="4"/>
  </r>
  <r>
    <x v="685"/>
    <s v="Donna Lee"/>
    <n v="17"/>
    <x v="1"/>
    <x v="442"/>
    <x v="166"/>
    <n v="1"/>
    <x v="3"/>
    <x v="25"/>
    <n v="609.66"/>
    <n v="0.9"/>
    <x v="2"/>
    <n v="0"/>
    <x v="4"/>
  </r>
  <r>
    <x v="686"/>
    <s v="Anthony Thompson"/>
    <n v="59"/>
    <x v="0"/>
    <x v="10"/>
    <x v="345"/>
    <n v="4"/>
    <x v="4"/>
    <x v="26"/>
    <n v="8093.46"/>
    <n v="0.8"/>
    <x v="0"/>
    <n v="8093.46"/>
    <x v="0"/>
  </r>
  <r>
    <x v="687"/>
    <s v="Paul Jackson"/>
    <n v="81"/>
    <x v="0"/>
    <x v="261"/>
    <x v="249"/>
    <n v="1"/>
    <x v="1"/>
    <x v="36"/>
    <n v="2072.19"/>
    <n v="0.6"/>
    <x v="2"/>
    <n v="0"/>
    <x v="1"/>
  </r>
  <r>
    <x v="688"/>
    <s v="Ashley Garcia"/>
    <n v="21"/>
    <x v="1"/>
    <x v="14"/>
    <x v="438"/>
    <n v="2"/>
    <x v="1"/>
    <x v="15"/>
    <n v="1895.35"/>
    <n v="0.5"/>
    <x v="1"/>
    <n v="0"/>
    <x v="2"/>
  </r>
  <r>
    <x v="689"/>
    <s v="Thomas Lee"/>
    <n v="32"/>
    <x v="0"/>
    <x v="206"/>
    <x v="439"/>
    <n v="1"/>
    <x v="2"/>
    <x v="5"/>
    <n v="1195.19"/>
    <n v="1"/>
    <x v="0"/>
    <n v="1195.19"/>
    <x v="2"/>
  </r>
  <r>
    <x v="690"/>
    <s v="David Martinez"/>
    <n v="59"/>
    <x v="0"/>
    <x v="443"/>
    <x v="428"/>
    <n v="3"/>
    <x v="1"/>
    <x v="7"/>
    <n v="6880.53"/>
    <n v="0.9"/>
    <x v="1"/>
    <n v="0"/>
    <x v="0"/>
  </r>
  <r>
    <x v="691"/>
    <s v="Mary Johnson"/>
    <n v="3"/>
    <x v="1"/>
    <x v="55"/>
    <x v="440"/>
    <n v="5"/>
    <x v="3"/>
    <x v="9"/>
    <n v="8731.85"/>
    <n v="1"/>
    <x v="1"/>
    <n v="0"/>
    <x v="4"/>
  </r>
  <r>
    <x v="692"/>
    <s v="Betty Ramirez"/>
    <n v="71"/>
    <x v="1"/>
    <x v="444"/>
    <x v="441"/>
    <n v="6"/>
    <x v="5"/>
    <x v="34"/>
    <n v="10575.02"/>
    <n v="0.7"/>
    <x v="1"/>
    <n v="0"/>
    <x v="1"/>
  </r>
  <r>
    <x v="693"/>
    <s v="Carol Anderson"/>
    <n v="46"/>
    <x v="1"/>
    <x v="445"/>
    <x v="442"/>
    <n v="3"/>
    <x v="2"/>
    <x v="16"/>
    <n v="1975.02"/>
    <n v="0.9"/>
    <x v="2"/>
    <n v="0"/>
    <x v="3"/>
  </r>
  <r>
    <x v="694"/>
    <s v="Kenneth Rodriguez"/>
    <n v="47"/>
    <x v="0"/>
    <x v="276"/>
    <x v="318"/>
    <n v="8"/>
    <x v="4"/>
    <x v="27"/>
    <n v="14406.87"/>
    <n v="1"/>
    <x v="1"/>
    <n v="0"/>
    <x v="3"/>
  </r>
  <r>
    <x v="695"/>
    <s v="Karen Thomas"/>
    <n v="79"/>
    <x v="1"/>
    <x v="103"/>
    <x v="443"/>
    <n v="5"/>
    <x v="0"/>
    <x v="29"/>
    <n v="10285.16"/>
    <n v="0.8"/>
    <x v="2"/>
    <n v="0"/>
    <x v="1"/>
  </r>
  <r>
    <x v="696"/>
    <s v="Matthew Lewis"/>
    <n v="14"/>
    <x v="0"/>
    <x v="428"/>
    <x v="343"/>
    <n v="1"/>
    <x v="3"/>
    <x v="9"/>
    <n v="730.74"/>
    <n v="0"/>
    <x v="2"/>
    <n v="0"/>
    <x v="4"/>
  </r>
  <r>
    <x v="697"/>
    <s v="Anthony Taylor"/>
    <n v="30"/>
    <x v="0"/>
    <x v="270"/>
    <x v="278"/>
    <n v="6"/>
    <x v="4"/>
    <x v="27"/>
    <n v="12841.02"/>
    <n v="0.7"/>
    <x v="0"/>
    <n v="12841.02"/>
    <x v="2"/>
  </r>
  <r>
    <x v="698"/>
    <s v="Michael Young"/>
    <n v="71"/>
    <x v="0"/>
    <x v="446"/>
    <x v="444"/>
    <n v="3"/>
    <x v="5"/>
    <x v="35"/>
    <n v="3969.91"/>
    <n v="0.9"/>
    <x v="0"/>
    <n v="3969.91"/>
    <x v="1"/>
  </r>
  <r>
    <x v="699"/>
    <s v="Joshua Brown"/>
    <n v="47"/>
    <x v="0"/>
    <x v="363"/>
    <x v="372"/>
    <n v="3"/>
    <x v="2"/>
    <x v="4"/>
    <n v="3558.48"/>
    <n v="0.9"/>
    <x v="1"/>
    <n v="0"/>
    <x v="3"/>
  </r>
  <r>
    <x v="700"/>
    <s v="Richard Johnson"/>
    <n v="35"/>
    <x v="0"/>
    <x v="135"/>
    <x v="445"/>
    <n v="2"/>
    <x v="1"/>
    <x v="3"/>
    <n v="2492.36"/>
    <n v="0.9"/>
    <x v="2"/>
    <n v="0"/>
    <x v="2"/>
  </r>
  <r>
    <x v="701"/>
    <s v="Richard Garcia"/>
    <n v="64"/>
    <x v="0"/>
    <x v="65"/>
    <x v="75"/>
    <n v="3"/>
    <x v="2"/>
    <x v="33"/>
    <n v="2931.95"/>
    <n v="1"/>
    <x v="0"/>
    <n v="2931.95"/>
    <x v="0"/>
  </r>
  <r>
    <x v="702"/>
    <s v="Nancy Brown"/>
    <n v="39"/>
    <x v="1"/>
    <x v="224"/>
    <x v="446"/>
    <n v="2"/>
    <x v="1"/>
    <x v="31"/>
    <n v="3264.79"/>
    <n v="0.7"/>
    <x v="0"/>
    <n v="3264.79"/>
    <x v="3"/>
  </r>
  <r>
    <x v="703"/>
    <s v="Thomas Wilson"/>
    <n v="65"/>
    <x v="0"/>
    <x v="242"/>
    <x v="145"/>
    <n v="4"/>
    <x v="2"/>
    <x v="16"/>
    <n v="5976.06"/>
    <n v="0.7"/>
    <x v="1"/>
    <n v="0"/>
    <x v="0"/>
  </r>
  <r>
    <x v="704"/>
    <s v="Donna Ramirez"/>
    <n v="85"/>
    <x v="1"/>
    <x v="447"/>
    <x v="447"/>
    <n v="1"/>
    <x v="2"/>
    <x v="4"/>
    <n v="1133.0999999999999"/>
    <n v="0.7"/>
    <x v="1"/>
    <n v="0"/>
    <x v="1"/>
  </r>
  <r>
    <x v="705"/>
    <s v="Anthony Moore"/>
    <n v="85"/>
    <x v="0"/>
    <x v="448"/>
    <x v="448"/>
    <n v="2"/>
    <x v="1"/>
    <x v="31"/>
    <n v="4676.38"/>
    <n v="0.9"/>
    <x v="0"/>
    <n v="4676.38"/>
    <x v="1"/>
  </r>
  <r>
    <x v="706"/>
    <s v="Anthony Jackson"/>
    <n v="72"/>
    <x v="0"/>
    <x v="449"/>
    <x v="449"/>
    <n v="2"/>
    <x v="1"/>
    <x v="31"/>
    <n v="2041.86"/>
    <n v="0.9"/>
    <x v="0"/>
    <n v="2041.86"/>
    <x v="1"/>
  </r>
  <r>
    <x v="707"/>
    <s v="Lisa Lee"/>
    <n v="40"/>
    <x v="1"/>
    <x v="368"/>
    <x v="5"/>
    <n v="6"/>
    <x v="0"/>
    <x v="29"/>
    <n v="11703.16"/>
    <n v="0.9"/>
    <x v="0"/>
    <n v="11703.16"/>
    <x v="3"/>
  </r>
  <r>
    <x v="708"/>
    <s v="Donna Jones"/>
    <n v="6"/>
    <x v="1"/>
    <x v="60"/>
    <x v="278"/>
    <n v="1"/>
    <x v="3"/>
    <x v="25"/>
    <n v="1336.01"/>
    <n v="0.8"/>
    <x v="1"/>
    <n v="0"/>
    <x v="4"/>
  </r>
  <r>
    <x v="709"/>
    <s v="Thomas Smith"/>
    <n v="81"/>
    <x v="0"/>
    <x v="392"/>
    <x v="102"/>
    <n v="8"/>
    <x v="0"/>
    <x v="0"/>
    <n v="21413.919999999998"/>
    <n v="0.8"/>
    <x v="0"/>
    <n v="21413.919999999998"/>
    <x v="1"/>
  </r>
  <r>
    <x v="710"/>
    <s v="Nancy Davis"/>
    <n v="56"/>
    <x v="1"/>
    <x v="400"/>
    <x v="432"/>
    <n v="2"/>
    <x v="1"/>
    <x v="32"/>
    <n v="4020.17"/>
    <n v="0.8"/>
    <x v="2"/>
    <n v="0"/>
    <x v="0"/>
  </r>
  <r>
    <x v="711"/>
    <s v="Karen Lee"/>
    <n v="66"/>
    <x v="1"/>
    <x v="126"/>
    <x v="450"/>
    <n v="12"/>
    <x v="4"/>
    <x v="14"/>
    <n v="28053.05"/>
    <n v="0.8"/>
    <x v="0"/>
    <n v="28053.05"/>
    <x v="1"/>
  </r>
  <r>
    <x v="712"/>
    <s v="Michelle Harris"/>
    <n v="34"/>
    <x v="1"/>
    <x v="450"/>
    <x v="29"/>
    <n v="11"/>
    <x v="5"/>
    <x v="35"/>
    <n v="23948.97"/>
    <n v="1"/>
    <x v="0"/>
    <n v="23948.97"/>
    <x v="2"/>
  </r>
  <r>
    <x v="713"/>
    <s v="David Young"/>
    <n v="84"/>
    <x v="0"/>
    <x v="402"/>
    <x v="325"/>
    <n v="9"/>
    <x v="0"/>
    <x v="19"/>
    <n v="23623.51"/>
    <n v="0.9"/>
    <x v="1"/>
    <n v="0"/>
    <x v="1"/>
  </r>
  <r>
    <x v="714"/>
    <s v="James Ramirez"/>
    <n v="34"/>
    <x v="0"/>
    <x v="410"/>
    <x v="451"/>
    <n v="6"/>
    <x v="5"/>
    <x v="34"/>
    <n v="10445.299999999999"/>
    <n v="0.6"/>
    <x v="2"/>
    <n v="0"/>
    <x v="2"/>
  </r>
  <r>
    <x v="715"/>
    <s v="Mark White"/>
    <n v="51"/>
    <x v="0"/>
    <x v="164"/>
    <x v="452"/>
    <n v="7"/>
    <x v="4"/>
    <x v="13"/>
    <n v="19007.18"/>
    <n v="0.7"/>
    <x v="0"/>
    <n v="19007.18"/>
    <x v="0"/>
  </r>
  <r>
    <x v="716"/>
    <s v="David Jones"/>
    <n v="43"/>
    <x v="0"/>
    <x v="451"/>
    <x v="289"/>
    <n v="3"/>
    <x v="1"/>
    <x v="2"/>
    <n v="2458.7600000000002"/>
    <n v="0.9"/>
    <x v="0"/>
    <n v="2458.7600000000002"/>
    <x v="3"/>
  </r>
  <r>
    <x v="717"/>
    <s v="Brian Moore"/>
    <n v="32"/>
    <x v="0"/>
    <x v="162"/>
    <x v="453"/>
    <n v="8"/>
    <x v="4"/>
    <x v="27"/>
    <n v="14632.49"/>
    <n v="0.6"/>
    <x v="2"/>
    <n v="0"/>
    <x v="2"/>
  </r>
  <r>
    <x v="718"/>
    <s v="Susan Perez"/>
    <n v="34"/>
    <x v="1"/>
    <x v="452"/>
    <x v="454"/>
    <n v="5"/>
    <x v="2"/>
    <x v="10"/>
    <n v="2891.81"/>
    <n v="0.8"/>
    <x v="0"/>
    <n v="2891.81"/>
    <x v="2"/>
  </r>
  <r>
    <x v="719"/>
    <s v="Linda Davis"/>
    <n v="54"/>
    <x v="1"/>
    <x v="453"/>
    <x v="197"/>
    <n v="3"/>
    <x v="0"/>
    <x v="20"/>
    <n v="8029.13"/>
    <n v="0.8"/>
    <x v="1"/>
    <n v="0"/>
    <x v="0"/>
  </r>
  <r>
    <x v="720"/>
    <s v="Matthew Wilson"/>
    <n v="45"/>
    <x v="0"/>
    <x v="259"/>
    <x v="455"/>
    <n v="1"/>
    <x v="2"/>
    <x v="5"/>
    <n v="858.67"/>
    <n v="0.8"/>
    <x v="0"/>
    <n v="858.67"/>
    <x v="3"/>
  </r>
  <r>
    <x v="721"/>
    <s v="Steven Perez"/>
    <n v="16"/>
    <x v="0"/>
    <x v="190"/>
    <x v="293"/>
    <n v="2"/>
    <x v="3"/>
    <x v="37"/>
    <n v="3460.07"/>
    <n v="1"/>
    <x v="1"/>
    <n v="0"/>
    <x v="4"/>
  </r>
  <r>
    <x v="722"/>
    <s v="Brian Harris"/>
    <n v="48"/>
    <x v="0"/>
    <x v="454"/>
    <x v="150"/>
    <n v="7"/>
    <x v="2"/>
    <x v="16"/>
    <n v="7776.12"/>
    <n v="0.6"/>
    <x v="1"/>
    <n v="0"/>
    <x v="3"/>
  </r>
  <r>
    <x v="723"/>
    <s v="Brian Lewis"/>
    <n v="69"/>
    <x v="0"/>
    <x v="364"/>
    <x v="456"/>
    <n v="2"/>
    <x v="1"/>
    <x v="3"/>
    <n v="4547.8500000000004"/>
    <n v="0.7"/>
    <x v="2"/>
    <n v="0"/>
    <x v="1"/>
  </r>
  <r>
    <x v="724"/>
    <s v="Emily White"/>
    <n v="68"/>
    <x v="1"/>
    <x v="241"/>
    <x v="115"/>
    <n v="5"/>
    <x v="0"/>
    <x v="6"/>
    <n v="11509.91"/>
    <n v="0"/>
    <x v="1"/>
    <n v="0"/>
    <x v="1"/>
  </r>
  <r>
    <x v="725"/>
    <s v="Michelle Thomas"/>
    <n v="22"/>
    <x v="1"/>
    <x v="407"/>
    <x v="457"/>
    <n v="3"/>
    <x v="1"/>
    <x v="32"/>
    <n v="2402.42"/>
    <n v="1"/>
    <x v="0"/>
    <n v="2402.42"/>
    <x v="2"/>
  </r>
  <r>
    <x v="726"/>
    <s v="Robert Garcia"/>
    <n v="15"/>
    <x v="0"/>
    <x v="167"/>
    <x v="228"/>
    <n v="4"/>
    <x v="3"/>
    <x v="9"/>
    <n v="4108.03"/>
    <n v="0.8"/>
    <x v="0"/>
    <n v="4108.03"/>
    <x v="4"/>
  </r>
  <r>
    <x v="727"/>
    <s v="Lisa Miller"/>
    <n v="48"/>
    <x v="1"/>
    <x v="455"/>
    <x v="458"/>
    <n v="6"/>
    <x v="2"/>
    <x v="16"/>
    <n v="3552.94"/>
    <n v="0.8"/>
    <x v="1"/>
    <n v="0"/>
    <x v="3"/>
  </r>
  <r>
    <x v="728"/>
    <s v="Ashley Martinez"/>
    <n v="85"/>
    <x v="1"/>
    <x v="456"/>
    <x v="459"/>
    <n v="3"/>
    <x v="1"/>
    <x v="7"/>
    <n v="2872.72"/>
    <n v="0.5"/>
    <x v="1"/>
    <n v="0"/>
    <x v="1"/>
  </r>
  <r>
    <x v="729"/>
    <s v="James Perez"/>
    <n v="49"/>
    <x v="0"/>
    <x v="53"/>
    <x v="425"/>
    <n v="8"/>
    <x v="4"/>
    <x v="11"/>
    <n v="8897.51"/>
    <n v="0.8"/>
    <x v="0"/>
    <n v="8897.51"/>
    <x v="3"/>
  </r>
  <r>
    <x v="730"/>
    <s v="Carol Robinson"/>
    <n v="10"/>
    <x v="1"/>
    <x v="391"/>
    <x v="460"/>
    <n v="3"/>
    <x v="3"/>
    <x v="24"/>
    <n v="3469.08"/>
    <n v="0.8"/>
    <x v="0"/>
    <n v="3469.08"/>
    <x v="4"/>
  </r>
  <r>
    <x v="731"/>
    <s v="Andrew Clark"/>
    <n v="47"/>
    <x v="0"/>
    <x v="161"/>
    <x v="461"/>
    <n v="6"/>
    <x v="0"/>
    <x v="1"/>
    <n v="8778.52"/>
    <n v="0.8"/>
    <x v="1"/>
    <n v="0"/>
    <x v="3"/>
  </r>
  <r>
    <x v="732"/>
    <s v="Mark Brown"/>
    <n v="66"/>
    <x v="0"/>
    <x v="457"/>
    <x v="110"/>
    <n v="14"/>
    <x v="4"/>
    <x v="26"/>
    <n v="38501.9"/>
    <n v="0.8"/>
    <x v="0"/>
    <n v="38501.9"/>
    <x v="1"/>
  </r>
  <r>
    <x v="733"/>
    <s v="Andrew Martinez"/>
    <n v="43"/>
    <x v="0"/>
    <x v="458"/>
    <x v="194"/>
    <n v="2"/>
    <x v="2"/>
    <x v="33"/>
    <n v="1693.89"/>
    <n v="0.8"/>
    <x v="0"/>
    <n v="1693.89"/>
    <x v="3"/>
  </r>
  <r>
    <x v="734"/>
    <s v="William Walker"/>
    <n v="29"/>
    <x v="0"/>
    <x v="459"/>
    <x v="17"/>
    <n v="1"/>
    <x v="1"/>
    <x v="15"/>
    <n v="1250.03"/>
    <n v="0.8"/>
    <x v="0"/>
    <n v="1250.03"/>
    <x v="2"/>
  </r>
  <r>
    <x v="735"/>
    <s v="Dorothy Ramirez"/>
    <n v="76"/>
    <x v="1"/>
    <x v="460"/>
    <x v="51"/>
    <n v="1"/>
    <x v="1"/>
    <x v="32"/>
    <n v="2286.5500000000002"/>
    <n v="0.9"/>
    <x v="2"/>
    <n v="0"/>
    <x v="1"/>
  </r>
  <r>
    <x v="736"/>
    <s v="Christopher White"/>
    <n v="70"/>
    <x v="0"/>
    <x v="349"/>
    <x v="140"/>
    <n v="1"/>
    <x v="1"/>
    <x v="32"/>
    <n v="1516.2"/>
    <n v="0.8"/>
    <x v="0"/>
    <n v="1516.2"/>
    <x v="1"/>
  </r>
  <r>
    <x v="737"/>
    <s v="Sarah Garcia"/>
    <n v="79"/>
    <x v="1"/>
    <x v="76"/>
    <x v="462"/>
    <n v="10"/>
    <x v="0"/>
    <x v="0"/>
    <n v="24161.06"/>
    <n v="1"/>
    <x v="0"/>
    <n v="24161.06"/>
    <x v="1"/>
  </r>
  <r>
    <x v="738"/>
    <s v="Ashley Thompson"/>
    <n v="76"/>
    <x v="1"/>
    <x v="204"/>
    <x v="209"/>
    <n v="3"/>
    <x v="1"/>
    <x v="7"/>
    <n v="5162.18"/>
    <n v="0.9"/>
    <x v="2"/>
    <n v="0"/>
    <x v="1"/>
  </r>
  <r>
    <x v="739"/>
    <s v="Thomas Young"/>
    <n v="27"/>
    <x v="0"/>
    <x v="389"/>
    <x v="463"/>
    <n v="13"/>
    <x v="4"/>
    <x v="26"/>
    <n v="22371.56"/>
    <n v="0.8"/>
    <x v="0"/>
    <n v="22371.56"/>
    <x v="2"/>
  </r>
  <r>
    <x v="740"/>
    <s v="Elizabeth Jackson"/>
    <n v="82"/>
    <x v="1"/>
    <x v="283"/>
    <x v="300"/>
    <n v="1"/>
    <x v="1"/>
    <x v="15"/>
    <n v="1865.06"/>
    <n v="0.8"/>
    <x v="0"/>
    <n v="1865.06"/>
    <x v="1"/>
  </r>
  <r>
    <x v="741"/>
    <s v="Joseph Martinez"/>
    <n v="71"/>
    <x v="0"/>
    <x v="450"/>
    <x v="464"/>
    <n v="3"/>
    <x v="0"/>
    <x v="29"/>
    <n v="7640.58"/>
    <n v="0.8"/>
    <x v="2"/>
    <n v="0"/>
    <x v="1"/>
  </r>
  <r>
    <x v="742"/>
    <s v="Karen Williams"/>
    <n v="69"/>
    <x v="1"/>
    <x v="461"/>
    <x v="65"/>
    <n v="2"/>
    <x v="2"/>
    <x v="5"/>
    <n v="2892.4"/>
    <n v="0.5"/>
    <x v="0"/>
    <n v="2892.4"/>
    <x v="1"/>
  </r>
  <r>
    <x v="743"/>
    <s v="Richard Rodriguez"/>
    <n v="32"/>
    <x v="0"/>
    <x v="204"/>
    <x v="465"/>
    <n v="7"/>
    <x v="5"/>
    <x v="12"/>
    <n v="9495.5300000000007"/>
    <n v="1"/>
    <x v="1"/>
    <n v="0"/>
    <x v="2"/>
  </r>
  <r>
    <x v="744"/>
    <s v="Ashley Rodriguez"/>
    <n v="29"/>
    <x v="1"/>
    <x v="238"/>
    <x v="466"/>
    <n v="1"/>
    <x v="1"/>
    <x v="3"/>
    <n v="870.1"/>
    <n v="0.8"/>
    <x v="0"/>
    <n v="870.1"/>
    <x v="2"/>
  </r>
  <r>
    <x v="745"/>
    <s v="Sarah Davis"/>
    <n v="76"/>
    <x v="1"/>
    <x v="462"/>
    <x v="340"/>
    <n v="1"/>
    <x v="2"/>
    <x v="4"/>
    <n v="1437.06"/>
    <n v="0.7"/>
    <x v="1"/>
    <n v="0"/>
    <x v="1"/>
  </r>
  <r>
    <x v="746"/>
    <s v="Sarah Perez"/>
    <n v="53"/>
    <x v="1"/>
    <x v="249"/>
    <x v="459"/>
    <n v="5"/>
    <x v="2"/>
    <x v="10"/>
    <n v="2735.83"/>
    <n v="0.9"/>
    <x v="1"/>
    <n v="0"/>
    <x v="0"/>
  </r>
  <r>
    <x v="747"/>
    <s v="Kenneth Wilson"/>
    <n v="27"/>
    <x v="0"/>
    <x v="463"/>
    <x v="411"/>
    <n v="1"/>
    <x v="1"/>
    <x v="2"/>
    <n v="1879.03"/>
    <n v="1"/>
    <x v="0"/>
    <n v="1879.03"/>
    <x v="2"/>
  </r>
  <r>
    <x v="748"/>
    <s v="Ashley Martinez"/>
    <n v="11"/>
    <x v="1"/>
    <x v="333"/>
    <x v="112"/>
    <n v="4"/>
    <x v="3"/>
    <x v="25"/>
    <n v="4685.1499999999996"/>
    <n v="0.7"/>
    <x v="2"/>
    <n v="0"/>
    <x v="4"/>
  </r>
  <r>
    <x v="749"/>
    <s v="Richard Rodriguez"/>
    <n v="30"/>
    <x v="0"/>
    <x v="464"/>
    <x v="73"/>
    <n v="2"/>
    <x v="1"/>
    <x v="7"/>
    <n v="4638.3500000000004"/>
    <n v="0.9"/>
    <x v="2"/>
    <n v="0"/>
    <x v="2"/>
  </r>
  <r>
    <x v="750"/>
    <s v="Betty Thompson"/>
    <n v="35"/>
    <x v="1"/>
    <x v="277"/>
    <x v="200"/>
    <n v="3"/>
    <x v="1"/>
    <x v="36"/>
    <n v="6181.48"/>
    <n v="0.9"/>
    <x v="0"/>
    <n v="6181.48"/>
    <x v="2"/>
  </r>
  <r>
    <x v="751"/>
    <s v="Donna Clark"/>
    <n v="66"/>
    <x v="1"/>
    <x v="279"/>
    <x v="467"/>
    <n v="6"/>
    <x v="5"/>
    <x v="34"/>
    <n v="10893.55"/>
    <n v="0.8"/>
    <x v="0"/>
    <n v="10893.55"/>
    <x v="1"/>
  </r>
  <r>
    <x v="752"/>
    <s v="Joshua Miller"/>
    <n v="70"/>
    <x v="0"/>
    <x v="127"/>
    <x v="468"/>
    <n v="4"/>
    <x v="2"/>
    <x v="8"/>
    <n v="5559.19"/>
    <n v="1"/>
    <x v="0"/>
    <n v="5559.19"/>
    <x v="1"/>
  </r>
  <r>
    <x v="753"/>
    <s v="Jennifer Lewis"/>
    <n v="82"/>
    <x v="1"/>
    <x v="465"/>
    <x v="231"/>
    <n v="6"/>
    <x v="0"/>
    <x v="29"/>
    <n v="12777.22"/>
    <n v="0.9"/>
    <x v="0"/>
    <n v="12777.22"/>
    <x v="1"/>
  </r>
  <r>
    <x v="754"/>
    <s v="Karen Rodriguez"/>
    <n v="28"/>
    <x v="1"/>
    <x v="170"/>
    <x v="167"/>
    <n v="1"/>
    <x v="1"/>
    <x v="7"/>
    <n v="824.72"/>
    <n v="0.8"/>
    <x v="0"/>
    <n v="824.72"/>
    <x v="2"/>
  </r>
  <r>
    <x v="755"/>
    <s v="Kenneth Davis"/>
    <n v="77"/>
    <x v="0"/>
    <x v="244"/>
    <x v="469"/>
    <n v="4"/>
    <x v="5"/>
    <x v="30"/>
    <n v="7892.83"/>
    <n v="0.9"/>
    <x v="0"/>
    <n v="7892.83"/>
    <x v="1"/>
  </r>
  <r>
    <x v="756"/>
    <s v="Sarah Martinez"/>
    <n v="34"/>
    <x v="1"/>
    <x v="422"/>
    <x v="470"/>
    <n v="2"/>
    <x v="1"/>
    <x v="15"/>
    <n v="4965.79"/>
    <n v="0.8"/>
    <x v="0"/>
    <n v="4965.79"/>
    <x v="2"/>
  </r>
  <r>
    <x v="757"/>
    <s v="Jennifer Taylor"/>
    <n v="8"/>
    <x v="1"/>
    <x v="23"/>
    <x v="471"/>
    <n v="2"/>
    <x v="3"/>
    <x v="24"/>
    <n v="1380.95"/>
    <n v="0.7"/>
    <x v="0"/>
    <n v="1380.95"/>
    <x v="4"/>
  </r>
  <r>
    <x v="758"/>
    <s v="Joshua Hernandez"/>
    <n v="41"/>
    <x v="0"/>
    <x v="258"/>
    <x v="468"/>
    <n v="1"/>
    <x v="2"/>
    <x v="10"/>
    <n v="783.53"/>
    <n v="0.5"/>
    <x v="0"/>
    <n v="783.53"/>
    <x v="3"/>
  </r>
  <r>
    <x v="759"/>
    <s v="Andrew Moore"/>
    <n v="50"/>
    <x v="0"/>
    <x v="197"/>
    <x v="203"/>
    <n v="1"/>
    <x v="2"/>
    <x v="5"/>
    <n v="644.33000000000004"/>
    <n v="0.5"/>
    <x v="2"/>
    <n v="0"/>
    <x v="3"/>
  </r>
  <r>
    <x v="760"/>
    <s v="Christopher Lee"/>
    <n v="64"/>
    <x v="0"/>
    <x v="62"/>
    <x v="215"/>
    <n v="1"/>
    <x v="1"/>
    <x v="2"/>
    <n v="803.78"/>
    <n v="0.9"/>
    <x v="0"/>
    <n v="803.78"/>
    <x v="0"/>
  </r>
  <r>
    <x v="761"/>
    <s v="Andrew Robinson"/>
    <n v="32"/>
    <x v="0"/>
    <x v="108"/>
    <x v="472"/>
    <n v="7"/>
    <x v="2"/>
    <x v="16"/>
    <n v="7286.69"/>
    <n v="0.8"/>
    <x v="0"/>
    <n v="7286.69"/>
    <x v="2"/>
  </r>
  <r>
    <x v="762"/>
    <s v="Jessica Lee"/>
    <n v="47"/>
    <x v="1"/>
    <x v="466"/>
    <x v="299"/>
    <n v="3"/>
    <x v="1"/>
    <x v="36"/>
    <n v="6520.03"/>
    <n v="0.8"/>
    <x v="0"/>
    <n v="6520.03"/>
    <x v="3"/>
  </r>
  <r>
    <x v="763"/>
    <s v="Nancy Clark"/>
    <n v="46"/>
    <x v="1"/>
    <x v="467"/>
    <x v="234"/>
    <n v="1"/>
    <x v="2"/>
    <x v="5"/>
    <n v="1101.07"/>
    <n v="0.7"/>
    <x v="1"/>
    <n v="0"/>
    <x v="3"/>
  </r>
  <r>
    <x v="764"/>
    <s v="Karen Ramirez"/>
    <n v="48"/>
    <x v="1"/>
    <x v="134"/>
    <x v="276"/>
    <n v="10"/>
    <x v="0"/>
    <x v="1"/>
    <n v="15930.98"/>
    <n v="0.8"/>
    <x v="0"/>
    <n v="15930.98"/>
    <x v="3"/>
  </r>
  <r>
    <x v="765"/>
    <s v="James Johnson"/>
    <n v="47"/>
    <x v="0"/>
    <x v="468"/>
    <x v="473"/>
    <n v="7"/>
    <x v="2"/>
    <x v="21"/>
    <n v="6394.95"/>
    <n v="1"/>
    <x v="2"/>
    <n v="0"/>
    <x v="3"/>
  </r>
  <r>
    <x v="766"/>
    <s v="David Wilson"/>
    <n v="18"/>
    <x v="0"/>
    <x v="299"/>
    <x v="305"/>
    <n v="2"/>
    <x v="2"/>
    <x v="8"/>
    <n v="2803.03"/>
    <n v="0.9"/>
    <x v="0"/>
    <n v="2803.03"/>
    <x v="2"/>
  </r>
  <r>
    <x v="767"/>
    <s v="James Walker"/>
    <n v="41"/>
    <x v="0"/>
    <x v="469"/>
    <x v="474"/>
    <n v="3"/>
    <x v="5"/>
    <x v="12"/>
    <n v="4689.5200000000004"/>
    <n v="0.8"/>
    <x v="0"/>
    <n v="4689.5200000000004"/>
    <x v="3"/>
  </r>
  <r>
    <x v="768"/>
    <s v="Donna Thompson"/>
    <n v="67"/>
    <x v="1"/>
    <x v="144"/>
    <x v="459"/>
    <n v="10"/>
    <x v="5"/>
    <x v="35"/>
    <n v="13724.66"/>
    <n v="0.8"/>
    <x v="0"/>
    <n v="13724.66"/>
    <x v="1"/>
  </r>
  <r>
    <x v="769"/>
    <s v="Matthew Brown"/>
    <n v="74"/>
    <x v="0"/>
    <x v="470"/>
    <x v="175"/>
    <n v="4"/>
    <x v="0"/>
    <x v="6"/>
    <n v="9130.48"/>
    <n v="0.6"/>
    <x v="2"/>
    <n v="0"/>
    <x v="1"/>
  </r>
  <r>
    <x v="770"/>
    <s v="Ashley Jones"/>
    <n v="32"/>
    <x v="1"/>
    <x v="98"/>
    <x v="138"/>
    <n v="1"/>
    <x v="1"/>
    <x v="36"/>
    <n v="2383.8000000000002"/>
    <n v="0.7"/>
    <x v="0"/>
    <n v="2383.8000000000002"/>
    <x v="2"/>
  </r>
  <r>
    <x v="771"/>
    <s v="Betty Rodriguez"/>
    <n v="51"/>
    <x v="1"/>
    <x v="313"/>
    <x v="475"/>
    <n v="3"/>
    <x v="2"/>
    <x v="21"/>
    <n v="1901.75"/>
    <n v="0.7"/>
    <x v="1"/>
    <n v="0"/>
    <x v="0"/>
  </r>
  <r>
    <x v="772"/>
    <s v="Matthew Jones"/>
    <n v="55"/>
    <x v="0"/>
    <x v="332"/>
    <x v="476"/>
    <n v="3"/>
    <x v="1"/>
    <x v="3"/>
    <n v="5558.16"/>
    <n v="0.6"/>
    <x v="0"/>
    <n v="5558.16"/>
    <x v="0"/>
  </r>
  <r>
    <x v="773"/>
    <s v="Robert Hernandez"/>
    <n v="34"/>
    <x v="0"/>
    <x v="176"/>
    <x v="477"/>
    <n v="7"/>
    <x v="2"/>
    <x v="16"/>
    <n v="4500.7"/>
    <n v="0.9"/>
    <x v="0"/>
    <n v="4500.7"/>
    <x v="2"/>
  </r>
  <r>
    <x v="774"/>
    <s v="Paul Rodriguez"/>
    <n v="81"/>
    <x v="0"/>
    <x v="21"/>
    <x v="478"/>
    <n v="5"/>
    <x v="0"/>
    <x v="6"/>
    <n v="9036.9"/>
    <n v="0.5"/>
    <x v="1"/>
    <n v="0"/>
    <x v="1"/>
  </r>
  <r>
    <x v="775"/>
    <s v="Michael Wilson"/>
    <n v="83"/>
    <x v="0"/>
    <x v="380"/>
    <x v="479"/>
    <n v="5"/>
    <x v="2"/>
    <x v="33"/>
    <n v="4404.2299999999996"/>
    <n v="0.5"/>
    <x v="2"/>
    <n v="0"/>
    <x v="1"/>
  </r>
  <r>
    <x v="776"/>
    <s v="Anthony Miller"/>
    <n v="51"/>
    <x v="0"/>
    <x v="126"/>
    <x v="128"/>
    <n v="5"/>
    <x v="2"/>
    <x v="21"/>
    <n v="4907.47"/>
    <n v="0.8"/>
    <x v="0"/>
    <n v="4907.47"/>
    <x v="0"/>
  </r>
  <r>
    <x v="777"/>
    <s v="Brian Davis"/>
    <n v="71"/>
    <x v="0"/>
    <x v="63"/>
    <x v="165"/>
    <n v="10"/>
    <x v="0"/>
    <x v="0"/>
    <n v="26768.21"/>
    <n v="1"/>
    <x v="2"/>
    <n v="0"/>
    <x v="1"/>
  </r>
  <r>
    <x v="778"/>
    <s v="Kimberly Thompson"/>
    <n v="85"/>
    <x v="1"/>
    <x v="36"/>
    <x v="434"/>
    <n v="4"/>
    <x v="2"/>
    <x v="8"/>
    <n v="2615.96"/>
    <n v="1"/>
    <x v="0"/>
    <n v="2615.96"/>
    <x v="1"/>
  </r>
  <r>
    <x v="779"/>
    <s v="Mark Harris"/>
    <n v="74"/>
    <x v="0"/>
    <x v="425"/>
    <x v="480"/>
    <n v="6"/>
    <x v="2"/>
    <x v="33"/>
    <n v="7371.54"/>
    <n v="0.7"/>
    <x v="2"/>
    <n v="0"/>
    <x v="1"/>
  </r>
  <r>
    <x v="780"/>
    <s v="Elizabeth Lopez"/>
    <n v="74"/>
    <x v="1"/>
    <x v="360"/>
    <x v="402"/>
    <n v="1"/>
    <x v="1"/>
    <x v="31"/>
    <n v="1984.12"/>
    <n v="0.7"/>
    <x v="1"/>
    <n v="0"/>
    <x v="1"/>
  </r>
  <r>
    <x v="781"/>
    <s v="Sarah Ramirez"/>
    <n v="42"/>
    <x v="1"/>
    <x v="309"/>
    <x v="481"/>
    <n v="6"/>
    <x v="5"/>
    <x v="17"/>
    <n v="15265.35"/>
    <n v="1"/>
    <x v="0"/>
    <n v="15265.35"/>
    <x v="3"/>
  </r>
  <r>
    <x v="782"/>
    <s v="Christopher Martin"/>
    <n v="43"/>
    <x v="0"/>
    <x v="192"/>
    <x v="314"/>
    <n v="11"/>
    <x v="5"/>
    <x v="35"/>
    <n v="24895.77"/>
    <n v="0.8"/>
    <x v="0"/>
    <n v="24895.77"/>
    <x v="3"/>
  </r>
  <r>
    <x v="783"/>
    <s v="Betty Davis"/>
    <n v="43"/>
    <x v="1"/>
    <x v="253"/>
    <x v="249"/>
    <n v="4"/>
    <x v="2"/>
    <x v="5"/>
    <n v="2392.67"/>
    <n v="0.6"/>
    <x v="2"/>
    <n v="0"/>
    <x v="3"/>
  </r>
  <r>
    <x v="784"/>
    <s v="Sarah Jackson"/>
    <n v="23"/>
    <x v="1"/>
    <x v="224"/>
    <x v="173"/>
    <n v="1"/>
    <x v="2"/>
    <x v="21"/>
    <n v="1000.43"/>
    <n v="0.9"/>
    <x v="0"/>
    <n v="1000.43"/>
    <x v="2"/>
  </r>
  <r>
    <x v="785"/>
    <s v="David Rodriguez"/>
    <n v="58"/>
    <x v="0"/>
    <x v="471"/>
    <x v="224"/>
    <n v="4"/>
    <x v="5"/>
    <x v="34"/>
    <n v="10299"/>
    <n v="0.9"/>
    <x v="0"/>
    <n v="10299"/>
    <x v="0"/>
  </r>
  <r>
    <x v="786"/>
    <s v="Kimberly Smith"/>
    <n v="58"/>
    <x v="1"/>
    <x v="192"/>
    <x v="195"/>
    <n v="10"/>
    <x v="5"/>
    <x v="28"/>
    <n v="25129.38"/>
    <n v="0.9"/>
    <x v="0"/>
    <n v="25129.38"/>
    <x v="0"/>
  </r>
  <r>
    <x v="787"/>
    <s v="Joshua Jones"/>
    <n v="9"/>
    <x v="0"/>
    <x v="430"/>
    <x v="107"/>
    <n v="5"/>
    <x v="3"/>
    <x v="22"/>
    <n v="6735.15"/>
    <n v="1"/>
    <x v="2"/>
    <n v="0"/>
    <x v="4"/>
  </r>
  <r>
    <x v="788"/>
    <s v="Carol Lewis"/>
    <n v="62"/>
    <x v="1"/>
    <x v="81"/>
    <x v="482"/>
    <n v="10"/>
    <x v="0"/>
    <x v="20"/>
    <n v="20130.14"/>
    <n v="0.7"/>
    <x v="0"/>
    <n v="20130.14"/>
    <x v="0"/>
  </r>
  <r>
    <x v="789"/>
    <s v="Kenneth Robinson"/>
    <n v="3"/>
    <x v="0"/>
    <x v="472"/>
    <x v="483"/>
    <n v="1"/>
    <x v="3"/>
    <x v="37"/>
    <n v="1138.69"/>
    <n v="0.8"/>
    <x v="0"/>
    <n v="1138.69"/>
    <x v="4"/>
  </r>
  <r>
    <x v="790"/>
    <s v="Matthew Martin"/>
    <n v="75"/>
    <x v="0"/>
    <x v="221"/>
    <x v="333"/>
    <n v="13"/>
    <x v="4"/>
    <x v="18"/>
    <n v="17304.05"/>
    <n v="0.8"/>
    <x v="0"/>
    <n v="17304.05"/>
    <x v="1"/>
  </r>
  <r>
    <x v="791"/>
    <s v="Emily Garcia"/>
    <n v="66"/>
    <x v="1"/>
    <x v="362"/>
    <x v="54"/>
    <n v="4"/>
    <x v="2"/>
    <x v="33"/>
    <n v="2563.36"/>
    <n v="0.7"/>
    <x v="0"/>
    <n v="2563.36"/>
    <x v="1"/>
  </r>
  <r>
    <x v="792"/>
    <s v="Carol Ramirez"/>
    <n v="73"/>
    <x v="1"/>
    <x v="473"/>
    <x v="484"/>
    <n v="6"/>
    <x v="2"/>
    <x v="4"/>
    <n v="5938.64"/>
    <n v="0.8"/>
    <x v="0"/>
    <n v="5938.64"/>
    <x v="1"/>
  </r>
  <r>
    <x v="793"/>
    <s v="Robert Lee"/>
    <n v="58"/>
    <x v="0"/>
    <x v="239"/>
    <x v="243"/>
    <n v="3"/>
    <x v="4"/>
    <x v="13"/>
    <n v="6946.39"/>
    <n v="0.9"/>
    <x v="0"/>
    <n v="6946.39"/>
    <x v="0"/>
  </r>
  <r>
    <x v="794"/>
    <s v="Dorothy Thomas"/>
    <n v="32"/>
    <x v="1"/>
    <x v="414"/>
    <x v="111"/>
    <n v="11"/>
    <x v="5"/>
    <x v="30"/>
    <n v="15560.38"/>
    <n v="0.8"/>
    <x v="0"/>
    <n v="15560.38"/>
    <x v="2"/>
  </r>
  <r>
    <x v="795"/>
    <s v="Joshua Thomas"/>
    <n v="14"/>
    <x v="0"/>
    <x v="261"/>
    <x v="325"/>
    <n v="4"/>
    <x v="3"/>
    <x v="22"/>
    <n v="6667.93"/>
    <n v="0.9"/>
    <x v="1"/>
    <n v="0"/>
    <x v="4"/>
  </r>
  <r>
    <x v="796"/>
    <s v="Thomas Smith"/>
    <n v="26"/>
    <x v="0"/>
    <x v="297"/>
    <x v="340"/>
    <n v="2"/>
    <x v="1"/>
    <x v="31"/>
    <n v="3800.12"/>
    <n v="0.7"/>
    <x v="0"/>
    <n v="3800.12"/>
    <x v="2"/>
  </r>
  <r>
    <x v="797"/>
    <s v="Elizabeth Miller"/>
    <n v="25"/>
    <x v="1"/>
    <x v="474"/>
    <x v="485"/>
    <n v="1"/>
    <x v="1"/>
    <x v="7"/>
    <n v="1697.82"/>
    <n v="0.8"/>
    <x v="0"/>
    <n v="1697.82"/>
    <x v="2"/>
  </r>
  <r>
    <x v="798"/>
    <s v="Robert Lopez"/>
    <n v="44"/>
    <x v="0"/>
    <x v="308"/>
    <x v="41"/>
    <n v="3"/>
    <x v="0"/>
    <x v="29"/>
    <n v="8833.89"/>
    <n v="1"/>
    <x v="0"/>
    <n v="8833.89"/>
    <x v="3"/>
  </r>
  <r>
    <x v="799"/>
    <s v="Robert Hernandez"/>
    <n v="52"/>
    <x v="0"/>
    <x v="183"/>
    <x v="486"/>
    <n v="1"/>
    <x v="2"/>
    <x v="5"/>
    <n v="809.13"/>
    <n v="0.6"/>
    <x v="1"/>
    <n v="0"/>
    <x v="0"/>
  </r>
  <r>
    <x v="800"/>
    <s v="Matthew Moore"/>
    <n v="66"/>
    <x v="0"/>
    <x v="475"/>
    <x v="487"/>
    <n v="2"/>
    <x v="1"/>
    <x v="36"/>
    <n v="2529.54"/>
    <n v="1"/>
    <x v="1"/>
    <n v="0"/>
    <x v="1"/>
  </r>
  <r>
    <x v="801"/>
    <s v="Donna Jackson"/>
    <n v="8"/>
    <x v="1"/>
    <x v="476"/>
    <x v="488"/>
    <n v="3"/>
    <x v="3"/>
    <x v="9"/>
    <n v="4739.3900000000003"/>
    <n v="0.8"/>
    <x v="1"/>
    <n v="0"/>
    <x v="4"/>
  </r>
  <r>
    <x v="802"/>
    <s v="Sarah Brown"/>
    <n v="37"/>
    <x v="1"/>
    <x v="477"/>
    <x v="489"/>
    <n v="1"/>
    <x v="1"/>
    <x v="3"/>
    <n v="1444.42"/>
    <n v="0.8"/>
    <x v="0"/>
    <n v="1444.42"/>
    <x v="3"/>
  </r>
  <r>
    <x v="803"/>
    <s v="Carol Lee"/>
    <n v="21"/>
    <x v="1"/>
    <x v="478"/>
    <x v="238"/>
    <n v="1"/>
    <x v="2"/>
    <x v="10"/>
    <n v="646.89"/>
    <n v="0.7"/>
    <x v="1"/>
    <n v="0"/>
    <x v="2"/>
  </r>
  <r>
    <x v="804"/>
    <s v="Brian Clark"/>
    <n v="64"/>
    <x v="0"/>
    <x v="193"/>
    <x v="391"/>
    <n v="2"/>
    <x v="1"/>
    <x v="32"/>
    <n v="4600.38"/>
    <n v="0.7"/>
    <x v="0"/>
    <n v="4600.38"/>
    <x v="0"/>
  </r>
  <r>
    <x v="805"/>
    <s v="Elizabeth Walker"/>
    <n v="78"/>
    <x v="1"/>
    <x v="368"/>
    <x v="264"/>
    <n v="3"/>
    <x v="1"/>
    <x v="3"/>
    <n v="2479.6999999999998"/>
    <n v="0.8"/>
    <x v="0"/>
    <n v="2479.6999999999998"/>
    <x v="1"/>
  </r>
  <r>
    <x v="806"/>
    <s v="James Perez"/>
    <n v="48"/>
    <x v="0"/>
    <x v="427"/>
    <x v="489"/>
    <n v="7"/>
    <x v="2"/>
    <x v="16"/>
    <n v="10101.09"/>
    <n v="0.8"/>
    <x v="2"/>
    <n v="0"/>
    <x v="3"/>
  </r>
  <r>
    <x v="807"/>
    <s v="Karen Miller"/>
    <n v="59"/>
    <x v="1"/>
    <x v="479"/>
    <x v="490"/>
    <n v="3"/>
    <x v="2"/>
    <x v="33"/>
    <n v="2291.15"/>
    <n v="0.6"/>
    <x v="0"/>
    <n v="2291.15"/>
    <x v="0"/>
  </r>
  <r>
    <x v="808"/>
    <s v="Barbara Miller"/>
    <n v="61"/>
    <x v="1"/>
    <x v="480"/>
    <x v="287"/>
    <n v="3"/>
    <x v="2"/>
    <x v="5"/>
    <n v="4440.5200000000004"/>
    <n v="0"/>
    <x v="1"/>
    <n v="0"/>
    <x v="0"/>
  </r>
  <r>
    <x v="809"/>
    <s v="Richard Martinez"/>
    <n v="83"/>
    <x v="0"/>
    <x v="481"/>
    <x v="491"/>
    <n v="1"/>
    <x v="2"/>
    <x v="16"/>
    <n v="923.56"/>
    <n v="0.9"/>
    <x v="0"/>
    <n v="923.56"/>
    <x v="1"/>
  </r>
  <r>
    <x v="810"/>
    <s v="James Young"/>
    <n v="62"/>
    <x v="0"/>
    <x v="111"/>
    <x v="415"/>
    <n v="3"/>
    <x v="0"/>
    <x v="29"/>
    <n v="7663.44"/>
    <n v="0.9"/>
    <x v="0"/>
    <n v="7663.44"/>
    <x v="0"/>
  </r>
  <r>
    <x v="811"/>
    <s v="Jennifer Smith"/>
    <n v="14"/>
    <x v="1"/>
    <x v="355"/>
    <x v="65"/>
    <n v="4"/>
    <x v="3"/>
    <x v="24"/>
    <n v="6386.92"/>
    <n v="1"/>
    <x v="0"/>
    <n v="6386.92"/>
    <x v="4"/>
  </r>
  <r>
    <x v="812"/>
    <s v="Susan Thomas"/>
    <n v="41"/>
    <x v="1"/>
    <x v="474"/>
    <x v="236"/>
    <n v="2"/>
    <x v="1"/>
    <x v="32"/>
    <n v="3243.4"/>
    <n v="0.7"/>
    <x v="2"/>
    <n v="0"/>
    <x v="3"/>
  </r>
  <r>
    <x v="813"/>
    <s v="William Anderson"/>
    <n v="28"/>
    <x v="0"/>
    <x v="390"/>
    <x v="492"/>
    <n v="2"/>
    <x v="1"/>
    <x v="36"/>
    <n v="2328.9699999999998"/>
    <n v="0.6"/>
    <x v="2"/>
    <n v="0"/>
    <x v="2"/>
  </r>
  <r>
    <x v="814"/>
    <s v="Carol Ramirez"/>
    <n v="76"/>
    <x v="1"/>
    <x v="428"/>
    <x v="101"/>
    <n v="5"/>
    <x v="0"/>
    <x v="20"/>
    <n v="11411.19"/>
    <n v="0.7"/>
    <x v="0"/>
    <n v="11411.19"/>
    <x v="1"/>
  </r>
  <r>
    <x v="815"/>
    <s v="Barbara Thomas"/>
    <n v="80"/>
    <x v="1"/>
    <x v="457"/>
    <x v="200"/>
    <n v="8"/>
    <x v="5"/>
    <x v="17"/>
    <n v="18741.169999999998"/>
    <n v="0.7"/>
    <x v="0"/>
    <n v="18741.169999999998"/>
    <x v="1"/>
  </r>
  <r>
    <x v="816"/>
    <s v="Ashley Thompson"/>
    <n v="53"/>
    <x v="1"/>
    <x v="186"/>
    <x v="493"/>
    <n v="2"/>
    <x v="1"/>
    <x v="3"/>
    <n v="3602.24"/>
    <n v="0.7"/>
    <x v="0"/>
    <n v="3602.24"/>
    <x v="0"/>
  </r>
  <r>
    <x v="817"/>
    <s v="Ashley Perez"/>
    <n v="50"/>
    <x v="1"/>
    <x v="418"/>
    <x v="419"/>
    <n v="2"/>
    <x v="4"/>
    <x v="13"/>
    <n v="3967.17"/>
    <n v="0.9"/>
    <x v="0"/>
    <n v="3967.17"/>
    <x v="3"/>
  </r>
  <r>
    <x v="818"/>
    <s v="Jennifer Thompson"/>
    <n v="30"/>
    <x v="1"/>
    <x v="481"/>
    <x v="114"/>
    <n v="4"/>
    <x v="4"/>
    <x v="18"/>
    <n v="5430.38"/>
    <n v="0.8"/>
    <x v="0"/>
    <n v="5430.38"/>
    <x v="2"/>
  </r>
  <r>
    <x v="819"/>
    <s v="Barbara Martinez"/>
    <n v="49"/>
    <x v="1"/>
    <x v="3"/>
    <x v="494"/>
    <n v="6"/>
    <x v="2"/>
    <x v="5"/>
    <n v="3153.91"/>
    <n v="0.9"/>
    <x v="0"/>
    <n v="3153.91"/>
    <x v="3"/>
  </r>
  <r>
    <x v="820"/>
    <s v="Jessica Perez"/>
    <n v="32"/>
    <x v="1"/>
    <x v="228"/>
    <x v="171"/>
    <n v="6"/>
    <x v="2"/>
    <x v="33"/>
    <n v="4214.28"/>
    <n v="0.8"/>
    <x v="0"/>
    <n v="4214.28"/>
    <x v="2"/>
  </r>
  <r>
    <x v="821"/>
    <s v="Richard Anderson"/>
    <n v="70"/>
    <x v="0"/>
    <x v="482"/>
    <x v="495"/>
    <n v="3"/>
    <x v="5"/>
    <x v="30"/>
    <n v="5898.39"/>
    <n v="0.6"/>
    <x v="1"/>
    <n v="0"/>
    <x v="1"/>
  </r>
  <r>
    <x v="822"/>
    <s v="Susan Garcia"/>
    <n v="35"/>
    <x v="1"/>
    <x v="483"/>
    <x v="190"/>
    <n v="14"/>
    <x v="4"/>
    <x v="27"/>
    <n v="32045.67"/>
    <n v="0.8"/>
    <x v="0"/>
    <n v="32045.67"/>
    <x v="2"/>
  </r>
  <r>
    <x v="823"/>
    <s v="Thomas Jones"/>
    <n v="77"/>
    <x v="0"/>
    <x v="484"/>
    <x v="496"/>
    <n v="5"/>
    <x v="5"/>
    <x v="34"/>
    <n v="11916.1"/>
    <n v="0.9"/>
    <x v="0"/>
    <n v="11916.1"/>
    <x v="1"/>
  </r>
  <r>
    <x v="824"/>
    <s v="Barbara Thompson"/>
    <n v="26"/>
    <x v="1"/>
    <x v="485"/>
    <x v="497"/>
    <n v="7"/>
    <x v="2"/>
    <x v="21"/>
    <n v="5499.8"/>
    <n v="0.8"/>
    <x v="1"/>
    <n v="0"/>
    <x v="2"/>
  </r>
  <r>
    <x v="825"/>
    <s v="Andrew Jackson"/>
    <n v="32"/>
    <x v="0"/>
    <x v="259"/>
    <x v="74"/>
    <n v="5"/>
    <x v="5"/>
    <x v="17"/>
    <n v="8755.16"/>
    <n v="0.5"/>
    <x v="0"/>
    <n v="8755.16"/>
    <x v="2"/>
  </r>
  <r>
    <x v="826"/>
    <s v="Matthew White"/>
    <n v="35"/>
    <x v="0"/>
    <x v="449"/>
    <x v="462"/>
    <n v="5"/>
    <x v="2"/>
    <x v="21"/>
    <n v="3252.83"/>
    <n v="0.7"/>
    <x v="2"/>
    <n v="0"/>
    <x v="2"/>
  </r>
  <r>
    <x v="827"/>
    <s v="Michelle Martinez"/>
    <n v="52"/>
    <x v="1"/>
    <x v="486"/>
    <x v="278"/>
    <n v="5"/>
    <x v="4"/>
    <x v="14"/>
    <n v="12778.56"/>
    <n v="0.8"/>
    <x v="1"/>
    <n v="0"/>
    <x v="0"/>
  </r>
  <r>
    <x v="828"/>
    <s v="Daniel White"/>
    <n v="73"/>
    <x v="0"/>
    <x v="259"/>
    <x v="166"/>
    <n v="12"/>
    <x v="4"/>
    <x v="13"/>
    <n v="27830.62"/>
    <n v="0.6"/>
    <x v="1"/>
    <n v="0"/>
    <x v="1"/>
  </r>
  <r>
    <x v="829"/>
    <s v="Joseph Perez"/>
    <n v="5"/>
    <x v="0"/>
    <x v="406"/>
    <x v="498"/>
    <n v="4"/>
    <x v="3"/>
    <x v="37"/>
    <n v="4474.62"/>
    <n v="1"/>
    <x v="1"/>
    <n v="0"/>
    <x v="4"/>
  </r>
  <r>
    <x v="830"/>
    <s v="James Moore"/>
    <n v="13"/>
    <x v="0"/>
    <x v="189"/>
    <x v="437"/>
    <n v="4"/>
    <x v="3"/>
    <x v="37"/>
    <n v="3553.09"/>
    <n v="0.6"/>
    <x v="1"/>
    <n v="0"/>
    <x v="4"/>
  </r>
  <r>
    <x v="831"/>
    <s v="Joshua Thompson"/>
    <n v="16"/>
    <x v="0"/>
    <x v="20"/>
    <x v="436"/>
    <n v="2"/>
    <x v="3"/>
    <x v="22"/>
    <n v="2767.65"/>
    <n v="0.7"/>
    <x v="0"/>
    <n v="2767.65"/>
    <x v="4"/>
  </r>
  <r>
    <x v="832"/>
    <s v="Kevin Lopez"/>
    <n v="14"/>
    <x v="0"/>
    <x v="487"/>
    <x v="499"/>
    <n v="2"/>
    <x v="3"/>
    <x v="9"/>
    <n v="2721.43"/>
    <n v="0.8"/>
    <x v="0"/>
    <n v="2721.43"/>
    <x v="4"/>
  </r>
  <r>
    <x v="833"/>
    <s v="Jennifer Thomas"/>
    <n v="21"/>
    <x v="1"/>
    <x v="488"/>
    <x v="500"/>
    <n v="3"/>
    <x v="1"/>
    <x v="31"/>
    <n v="2887.15"/>
    <n v="0.9"/>
    <x v="2"/>
    <n v="0"/>
    <x v="2"/>
  </r>
  <r>
    <x v="834"/>
    <s v="Daniel Wilson"/>
    <n v="29"/>
    <x v="0"/>
    <x v="489"/>
    <x v="391"/>
    <n v="3"/>
    <x v="1"/>
    <x v="2"/>
    <n v="7071.48"/>
    <n v="0.8"/>
    <x v="0"/>
    <n v="7071.48"/>
    <x v="2"/>
  </r>
  <r>
    <x v="835"/>
    <s v="Kimberly Harris"/>
    <n v="72"/>
    <x v="1"/>
    <x v="161"/>
    <x v="316"/>
    <n v="4"/>
    <x v="0"/>
    <x v="29"/>
    <n v="8289.81"/>
    <n v="0.8"/>
    <x v="0"/>
    <n v="8289.81"/>
    <x v="1"/>
  </r>
  <r>
    <x v="836"/>
    <s v="Elizabeth Jackson"/>
    <n v="20"/>
    <x v="1"/>
    <x v="490"/>
    <x v="319"/>
    <n v="3"/>
    <x v="2"/>
    <x v="21"/>
    <n v="1605.53"/>
    <n v="0.8"/>
    <x v="0"/>
    <n v="1605.53"/>
    <x v="2"/>
  </r>
  <r>
    <x v="837"/>
    <s v="Betty Wilson"/>
    <n v="26"/>
    <x v="1"/>
    <x v="266"/>
    <x v="501"/>
    <n v="3"/>
    <x v="2"/>
    <x v="21"/>
    <n v="3803.99"/>
    <n v="0.5"/>
    <x v="2"/>
    <n v="0"/>
    <x v="2"/>
  </r>
  <r>
    <x v="838"/>
    <s v="Karen Lopez"/>
    <n v="41"/>
    <x v="1"/>
    <x v="149"/>
    <x v="211"/>
    <n v="6"/>
    <x v="4"/>
    <x v="27"/>
    <n v="11654.43"/>
    <n v="0"/>
    <x v="2"/>
    <n v="0"/>
    <x v="3"/>
  </r>
  <r>
    <x v="839"/>
    <s v="Christopher Brown"/>
    <n v="1"/>
    <x v="0"/>
    <x v="341"/>
    <x v="502"/>
    <n v="2"/>
    <x v="3"/>
    <x v="25"/>
    <n v="3542.96"/>
    <n v="0.8"/>
    <x v="2"/>
    <n v="0"/>
    <x v="4"/>
  </r>
  <r>
    <x v="840"/>
    <s v="Robert Moore"/>
    <n v="1"/>
    <x v="0"/>
    <x v="491"/>
    <x v="271"/>
    <n v="5"/>
    <x v="3"/>
    <x v="23"/>
    <n v="6340.11"/>
    <n v="0.7"/>
    <x v="1"/>
    <n v="0"/>
    <x v="4"/>
  </r>
  <r>
    <x v="841"/>
    <s v="Joshua Walker"/>
    <n v="31"/>
    <x v="0"/>
    <x v="492"/>
    <x v="346"/>
    <n v="13"/>
    <x v="4"/>
    <x v="18"/>
    <n v="33330.199999999997"/>
    <n v="0.6"/>
    <x v="0"/>
    <n v="33330.199999999997"/>
    <x v="2"/>
  </r>
  <r>
    <x v="842"/>
    <s v="Barbara Martin"/>
    <n v="35"/>
    <x v="1"/>
    <x v="18"/>
    <x v="39"/>
    <n v="3"/>
    <x v="4"/>
    <x v="14"/>
    <n v="4622.9399999999996"/>
    <n v="0.9"/>
    <x v="0"/>
    <n v="4622.9399999999996"/>
    <x v="2"/>
  </r>
  <r>
    <x v="843"/>
    <s v="William Thomas"/>
    <n v="2"/>
    <x v="0"/>
    <x v="373"/>
    <x v="450"/>
    <n v="5"/>
    <x v="3"/>
    <x v="24"/>
    <n v="6314.88"/>
    <n v="0.7"/>
    <x v="0"/>
    <n v="6314.88"/>
    <x v="4"/>
  </r>
  <r>
    <x v="844"/>
    <s v="Joshua Davis"/>
    <n v="25"/>
    <x v="0"/>
    <x v="493"/>
    <x v="107"/>
    <n v="14"/>
    <x v="4"/>
    <x v="18"/>
    <n v="25971.47"/>
    <n v="0.8"/>
    <x v="1"/>
    <n v="0"/>
    <x v="2"/>
  </r>
  <r>
    <x v="845"/>
    <s v="Lisa Miller"/>
    <n v="44"/>
    <x v="1"/>
    <x v="7"/>
    <x v="503"/>
    <n v="5"/>
    <x v="2"/>
    <x v="33"/>
    <n v="2926.43"/>
    <n v="0.9"/>
    <x v="0"/>
    <n v="2926.43"/>
    <x v="3"/>
  </r>
  <r>
    <x v="846"/>
    <s v="Daniel Ramirez"/>
    <n v="39"/>
    <x v="0"/>
    <x v="494"/>
    <x v="142"/>
    <n v="5"/>
    <x v="2"/>
    <x v="8"/>
    <n v="6712.97"/>
    <n v="0.8"/>
    <x v="1"/>
    <n v="0"/>
    <x v="3"/>
  </r>
  <r>
    <x v="847"/>
    <s v="Karen Miller"/>
    <n v="72"/>
    <x v="1"/>
    <x v="495"/>
    <x v="504"/>
    <n v="3"/>
    <x v="2"/>
    <x v="5"/>
    <n v="3235.11"/>
    <n v="0.8"/>
    <x v="0"/>
    <n v="3235.11"/>
    <x v="1"/>
  </r>
  <r>
    <x v="848"/>
    <s v="Steven Williams"/>
    <n v="64"/>
    <x v="0"/>
    <x v="69"/>
    <x v="253"/>
    <n v="1"/>
    <x v="1"/>
    <x v="7"/>
    <n v="1023.76"/>
    <n v="1"/>
    <x v="0"/>
    <n v="1023.76"/>
    <x v="0"/>
  </r>
  <r>
    <x v="849"/>
    <s v="Donna Lee"/>
    <n v="15"/>
    <x v="1"/>
    <x v="63"/>
    <x v="505"/>
    <n v="5"/>
    <x v="3"/>
    <x v="22"/>
    <n v="3307.88"/>
    <n v="0.8"/>
    <x v="2"/>
    <n v="0"/>
    <x v="4"/>
  </r>
  <r>
    <x v="850"/>
    <s v="Richard Thompson"/>
    <n v="1"/>
    <x v="0"/>
    <x v="496"/>
    <x v="506"/>
    <n v="2"/>
    <x v="3"/>
    <x v="22"/>
    <n v="2503.98"/>
    <n v="0.5"/>
    <x v="0"/>
    <n v="2503.98"/>
    <x v="4"/>
  </r>
  <r>
    <x v="851"/>
    <s v="Mark Young"/>
    <n v="36"/>
    <x v="0"/>
    <x v="385"/>
    <x v="391"/>
    <n v="6"/>
    <x v="4"/>
    <x v="11"/>
    <n v="9721.9"/>
    <n v="0"/>
    <x v="1"/>
    <n v="0"/>
    <x v="3"/>
  </r>
  <r>
    <x v="852"/>
    <s v="Steven Lewis"/>
    <n v="45"/>
    <x v="0"/>
    <x v="497"/>
    <x v="354"/>
    <n v="7"/>
    <x v="2"/>
    <x v="4"/>
    <n v="8925.93"/>
    <n v="0.7"/>
    <x v="2"/>
    <n v="0"/>
    <x v="3"/>
  </r>
  <r>
    <x v="853"/>
    <s v="Kevin Anderson"/>
    <n v="31"/>
    <x v="0"/>
    <x v="391"/>
    <x v="460"/>
    <n v="3"/>
    <x v="2"/>
    <x v="10"/>
    <n v="2423.96"/>
    <n v="0.9"/>
    <x v="0"/>
    <n v="2423.96"/>
    <x v="2"/>
  </r>
  <r>
    <x v="854"/>
    <s v="Donna Martin"/>
    <n v="77"/>
    <x v="1"/>
    <x v="88"/>
    <x v="497"/>
    <n v="6"/>
    <x v="2"/>
    <x v="5"/>
    <n v="4453.26"/>
    <n v="0.6"/>
    <x v="1"/>
    <n v="0"/>
    <x v="1"/>
  </r>
  <r>
    <x v="855"/>
    <s v="Kevin Lewis"/>
    <n v="78"/>
    <x v="0"/>
    <x v="228"/>
    <x v="507"/>
    <n v="3"/>
    <x v="5"/>
    <x v="28"/>
    <n v="4774.57"/>
    <n v="0.9"/>
    <x v="0"/>
    <n v="4774.57"/>
    <x v="1"/>
  </r>
  <r>
    <x v="856"/>
    <s v="Betty Jackson"/>
    <n v="31"/>
    <x v="1"/>
    <x v="133"/>
    <x v="238"/>
    <n v="3"/>
    <x v="1"/>
    <x v="7"/>
    <n v="3412"/>
    <n v="1"/>
    <x v="0"/>
    <n v="3412"/>
    <x v="2"/>
  </r>
  <r>
    <x v="857"/>
    <s v="Ashley Martin"/>
    <n v="51"/>
    <x v="1"/>
    <x v="498"/>
    <x v="508"/>
    <n v="1"/>
    <x v="2"/>
    <x v="10"/>
    <n v="1093.33"/>
    <n v="0.8"/>
    <x v="0"/>
    <n v="1093.33"/>
    <x v="0"/>
  </r>
  <r>
    <x v="858"/>
    <s v="Linda Lewis"/>
    <n v="3"/>
    <x v="1"/>
    <x v="499"/>
    <x v="157"/>
    <n v="4"/>
    <x v="3"/>
    <x v="9"/>
    <n v="5111.21"/>
    <n v="1"/>
    <x v="0"/>
    <n v="5111.21"/>
    <x v="4"/>
  </r>
  <r>
    <x v="859"/>
    <s v="Kevin Walker"/>
    <n v="75"/>
    <x v="0"/>
    <x v="156"/>
    <x v="509"/>
    <n v="6"/>
    <x v="2"/>
    <x v="8"/>
    <n v="5375.85"/>
    <n v="0.7"/>
    <x v="0"/>
    <n v="5375.85"/>
    <x v="1"/>
  </r>
  <r>
    <x v="860"/>
    <s v="Kevin Lee"/>
    <n v="55"/>
    <x v="0"/>
    <x v="5"/>
    <x v="264"/>
    <n v="4"/>
    <x v="4"/>
    <x v="11"/>
    <n v="9604.6200000000008"/>
    <n v="1"/>
    <x v="1"/>
    <n v="0"/>
    <x v="0"/>
  </r>
  <r>
    <x v="861"/>
    <s v="Betty Lopez"/>
    <n v="51"/>
    <x v="1"/>
    <x v="500"/>
    <x v="510"/>
    <n v="7"/>
    <x v="2"/>
    <x v="33"/>
    <n v="8806.14"/>
    <n v="0.7"/>
    <x v="0"/>
    <n v="8806.14"/>
    <x v="0"/>
  </r>
  <r>
    <x v="862"/>
    <s v="Kimberly Anderson"/>
    <n v="20"/>
    <x v="1"/>
    <x v="355"/>
    <x v="86"/>
    <n v="2"/>
    <x v="1"/>
    <x v="32"/>
    <n v="3945.82"/>
    <n v="0.8"/>
    <x v="0"/>
    <n v="3945.82"/>
    <x v="2"/>
  </r>
  <r>
    <x v="863"/>
    <s v="Sandra Wilson"/>
    <n v="33"/>
    <x v="1"/>
    <x v="150"/>
    <x v="245"/>
    <n v="1"/>
    <x v="1"/>
    <x v="31"/>
    <n v="2303.3000000000002"/>
    <n v="0.8"/>
    <x v="0"/>
    <n v="2303.3000000000002"/>
    <x v="2"/>
  </r>
  <r>
    <x v="864"/>
    <s v="Daniel Thomas"/>
    <n v="9"/>
    <x v="0"/>
    <x v="437"/>
    <x v="434"/>
    <n v="1"/>
    <x v="3"/>
    <x v="23"/>
    <n v="1534.49"/>
    <n v="0.8"/>
    <x v="0"/>
    <n v="1534.49"/>
    <x v="4"/>
  </r>
  <r>
    <x v="865"/>
    <s v="Paul Thomas"/>
    <n v="27"/>
    <x v="0"/>
    <x v="472"/>
    <x v="483"/>
    <n v="1"/>
    <x v="2"/>
    <x v="16"/>
    <n v="1353.93"/>
    <n v="0.8"/>
    <x v="0"/>
    <n v="1353.93"/>
    <x v="2"/>
  </r>
  <r>
    <x v="866"/>
    <s v="Dorothy Wilson"/>
    <n v="70"/>
    <x v="1"/>
    <x v="501"/>
    <x v="511"/>
    <n v="6"/>
    <x v="0"/>
    <x v="29"/>
    <n v="12898.02"/>
    <n v="0.5"/>
    <x v="1"/>
    <n v="0"/>
    <x v="1"/>
  </r>
  <r>
    <x v="867"/>
    <s v="Karen Jones"/>
    <n v="62"/>
    <x v="1"/>
    <x v="102"/>
    <x v="512"/>
    <n v="4"/>
    <x v="2"/>
    <x v="10"/>
    <n v="4833.0200000000004"/>
    <n v="0.7"/>
    <x v="2"/>
    <n v="0"/>
    <x v="0"/>
  </r>
  <r>
    <x v="868"/>
    <s v="Mark Martinez"/>
    <n v="42"/>
    <x v="0"/>
    <x v="122"/>
    <x v="250"/>
    <n v="3"/>
    <x v="4"/>
    <x v="27"/>
    <n v="3132.44"/>
    <n v="0.8"/>
    <x v="0"/>
    <n v="3132.44"/>
    <x v="3"/>
  </r>
  <r>
    <x v="869"/>
    <s v="Brian Jackson"/>
    <n v="60"/>
    <x v="0"/>
    <x v="351"/>
    <x v="513"/>
    <n v="7"/>
    <x v="5"/>
    <x v="28"/>
    <n v="9720.49"/>
    <n v="0.9"/>
    <x v="1"/>
    <n v="0"/>
    <x v="0"/>
  </r>
  <r>
    <x v="870"/>
    <s v="Sandra Harris"/>
    <n v="16"/>
    <x v="1"/>
    <x v="27"/>
    <x v="217"/>
    <n v="3"/>
    <x v="3"/>
    <x v="9"/>
    <n v="3754.13"/>
    <n v="0.8"/>
    <x v="0"/>
    <n v="3754.13"/>
    <x v="4"/>
  </r>
  <r>
    <x v="871"/>
    <s v="Thomas Smith"/>
    <n v="34"/>
    <x v="0"/>
    <x v="278"/>
    <x v="287"/>
    <n v="4"/>
    <x v="2"/>
    <x v="8"/>
    <n v="5762.53"/>
    <n v="0.9"/>
    <x v="0"/>
    <n v="5762.53"/>
    <x v="2"/>
  </r>
  <r>
    <x v="872"/>
    <s v="James Rodriguez"/>
    <n v="79"/>
    <x v="0"/>
    <x v="502"/>
    <x v="10"/>
    <n v="1"/>
    <x v="2"/>
    <x v="21"/>
    <n v="808.56"/>
    <n v="0.7"/>
    <x v="0"/>
    <n v="808.56"/>
    <x v="1"/>
  </r>
  <r>
    <x v="873"/>
    <s v="Dorothy Johnson"/>
    <n v="64"/>
    <x v="1"/>
    <x v="259"/>
    <x v="320"/>
    <n v="8"/>
    <x v="0"/>
    <x v="6"/>
    <n v="15637.55"/>
    <n v="0.9"/>
    <x v="0"/>
    <n v="15637.55"/>
    <x v="0"/>
  </r>
  <r>
    <x v="874"/>
    <s v="Carol Ramirez"/>
    <n v="58"/>
    <x v="1"/>
    <x v="503"/>
    <x v="11"/>
    <n v="2"/>
    <x v="1"/>
    <x v="7"/>
    <n v="4011.18"/>
    <n v="0.9"/>
    <x v="0"/>
    <n v="4011.18"/>
    <x v="0"/>
  </r>
  <r>
    <x v="875"/>
    <s v="Matthew Lee"/>
    <n v="53"/>
    <x v="0"/>
    <x v="504"/>
    <x v="514"/>
    <n v="5"/>
    <x v="0"/>
    <x v="20"/>
    <n v="10693.69"/>
    <n v="1"/>
    <x v="0"/>
    <n v="10693.69"/>
    <x v="0"/>
  </r>
  <r>
    <x v="876"/>
    <s v="Michelle Ramirez"/>
    <n v="39"/>
    <x v="1"/>
    <x v="500"/>
    <x v="446"/>
    <n v="3"/>
    <x v="4"/>
    <x v="27"/>
    <n v="3746.98"/>
    <n v="0.8"/>
    <x v="0"/>
    <n v="3746.98"/>
    <x v="3"/>
  </r>
  <r>
    <x v="877"/>
    <s v="Richard Davis"/>
    <n v="31"/>
    <x v="0"/>
    <x v="114"/>
    <x v="492"/>
    <n v="10"/>
    <x v="5"/>
    <x v="34"/>
    <n v="24544.65"/>
    <n v="0.8"/>
    <x v="0"/>
    <n v="24544.65"/>
    <x v="2"/>
  </r>
  <r>
    <x v="878"/>
    <s v="Richard Harris"/>
    <n v="35"/>
    <x v="0"/>
    <x v="505"/>
    <x v="291"/>
    <n v="1"/>
    <x v="1"/>
    <x v="31"/>
    <n v="1355.19"/>
    <n v="0.8"/>
    <x v="0"/>
    <n v="1355.19"/>
    <x v="2"/>
  </r>
  <r>
    <x v="879"/>
    <s v="Jennifer Jones"/>
    <n v="10"/>
    <x v="1"/>
    <x v="398"/>
    <x v="88"/>
    <n v="1"/>
    <x v="3"/>
    <x v="24"/>
    <n v="628.96"/>
    <n v="0.7"/>
    <x v="0"/>
    <n v="628.96"/>
    <x v="4"/>
  </r>
  <r>
    <x v="880"/>
    <s v="Emily Martinez"/>
    <n v="47"/>
    <x v="1"/>
    <x v="506"/>
    <x v="453"/>
    <n v="2"/>
    <x v="2"/>
    <x v="16"/>
    <n v="2366.37"/>
    <n v="0.8"/>
    <x v="0"/>
    <n v="2366.37"/>
    <x v="3"/>
  </r>
  <r>
    <x v="881"/>
    <s v="Kevin Thomas"/>
    <n v="22"/>
    <x v="0"/>
    <x v="375"/>
    <x v="256"/>
    <n v="1"/>
    <x v="1"/>
    <x v="36"/>
    <n v="2471.9699999999998"/>
    <n v="0.5"/>
    <x v="0"/>
    <n v="2471.9699999999998"/>
    <x v="2"/>
  </r>
  <r>
    <x v="882"/>
    <s v="Elizabeth Young"/>
    <n v="51"/>
    <x v="1"/>
    <x v="485"/>
    <x v="425"/>
    <n v="5"/>
    <x v="0"/>
    <x v="19"/>
    <n v="12189.63"/>
    <n v="0.9"/>
    <x v="0"/>
    <n v="12189.63"/>
    <x v="0"/>
  </r>
  <r>
    <x v="883"/>
    <s v="Steven Jones"/>
    <n v="7"/>
    <x v="0"/>
    <x v="181"/>
    <x v="515"/>
    <n v="3"/>
    <x v="3"/>
    <x v="23"/>
    <n v="4133.3599999999997"/>
    <n v="0.6"/>
    <x v="1"/>
    <n v="0"/>
    <x v="4"/>
  </r>
  <r>
    <x v="884"/>
    <s v="Elizabeth Lee"/>
    <n v="29"/>
    <x v="1"/>
    <x v="266"/>
    <x v="344"/>
    <n v="10"/>
    <x v="4"/>
    <x v="13"/>
    <n v="10560.57"/>
    <n v="0.7"/>
    <x v="0"/>
    <n v="10560.57"/>
    <x v="2"/>
  </r>
  <r>
    <x v="885"/>
    <s v="Donna Harris"/>
    <n v="55"/>
    <x v="1"/>
    <x v="5"/>
    <x v="516"/>
    <n v="6"/>
    <x v="0"/>
    <x v="20"/>
    <n v="16685.38"/>
    <n v="0.9"/>
    <x v="2"/>
    <n v="0"/>
    <x v="0"/>
  </r>
  <r>
    <x v="886"/>
    <s v="Betty Thompson"/>
    <n v="43"/>
    <x v="1"/>
    <x v="507"/>
    <x v="286"/>
    <n v="5"/>
    <x v="4"/>
    <x v="18"/>
    <n v="12448.18"/>
    <n v="0.9"/>
    <x v="0"/>
    <n v="12448.18"/>
    <x v="3"/>
  </r>
  <r>
    <x v="887"/>
    <s v="Carol Garcia"/>
    <n v="58"/>
    <x v="1"/>
    <x v="186"/>
    <x v="187"/>
    <n v="3"/>
    <x v="5"/>
    <x v="35"/>
    <n v="7181.24"/>
    <n v="0.8"/>
    <x v="0"/>
    <n v="7181.24"/>
    <x v="0"/>
  </r>
  <r>
    <x v="888"/>
    <s v="Donna Martin"/>
    <n v="51"/>
    <x v="1"/>
    <x v="508"/>
    <x v="215"/>
    <n v="10"/>
    <x v="5"/>
    <x v="12"/>
    <n v="12719.1"/>
    <n v="0.8"/>
    <x v="1"/>
    <n v="0"/>
    <x v="0"/>
  </r>
  <r>
    <x v="889"/>
    <s v="Sarah Walker"/>
    <n v="19"/>
    <x v="1"/>
    <x v="396"/>
    <x v="517"/>
    <n v="5"/>
    <x v="2"/>
    <x v="10"/>
    <n v="3960.59"/>
    <n v="0.7"/>
    <x v="2"/>
    <n v="0"/>
    <x v="2"/>
  </r>
  <r>
    <x v="890"/>
    <s v="Kevin Hernandez"/>
    <n v="73"/>
    <x v="0"/>
    <x v="509"/>
    <x v="518"/>
    <n v="13"/>
    <x v="4"/>
    <x v="26"/>
    <n v="32658.41"/>
    <n v="1"/>
    <x v="0"/>
    <n v="32658.41"/>
    <x v="1"/>
  </r>
  <r>
    <x v="891"/>
    <s v="Matthew Miller"/>
    <n v="53"/>
    <x v="0"/>
    <x v="361"/>
    <x v="180"/>
    <n v="3"/>
    <x v="1"/>
    <x v="31"/>
    <n v="4283.7"/>
    <n v="0.7"/>
    <x v="2"/>
    <n v="0"/>
    <x v="0"/>
  </r>
  <r>
    <x v="892"/>
    <s v="David Clark"/>
    <n v="52"/>
    <x v="0"/>
    <x v="127"/>
    <x v="50"/>
    <n v="2"/>
    <x v="4"/>
    <x v="14"/>
    <n v="5291.81"/>
    <n v="0.5"/>
    <x v="0"/>
    <n v="5291.81"/>
    <x v="0"/>
  </r>
  <r>
    <x v="893"/>
    <s v="Elizabeth Miller"/>
    <n v="80"/>
    <x v="1"/>
    <x v="510"/>
    <x v="411"/>
    <n v="6"/>
    <x v="2"/>
    <x v="5"/>
    <n v="3170.27"/>
    <n v="0.9"/>
    <x v="0"/>
    <n v="3170.27"/>
    <x v="1"/>
  </r>
  <r>
    <x v="894"/>
    <s v="Brian Thomas"/>
    <n v="32"/>
    <x v="0"/>
    <x v="511"/>
    <x v="492"/>
    <n v="7"/>
    <x v="2"/>
    <x v="21"/>
    <n v="6978.9"/>
    <n v="0.9"/>
    <x v="1"/>
    <n v="0"/>
    <x v="2"/>
  </r>
  <r>
    <x v="895"/>
    <s v="Sandra Lewis"/>
    <n v="63"/>
    <x v="1"/>
    <x v="307"/>
    <x v="89"/>
    <n v="6"/>
    <x v="2"/>
    <x v="16"/>
    <n v="4868.46"/>
    <n v="0.8"/>
    <x v="0"/>
    <n v="4868.46"/>
    <x v="0"/>
  </r>
  <r>
    <x v="896"/>
    <s v="Mark Martinez"/>
    <n v="58"/>
    <x v="0"/>
    <x v="257"/>
    <x v="319"/>
    <n v="14"/>
    <x v="4"/>
    <x v="11"/>
    <n v="34197.050000000003"/>
    <n v="0.8"/>
    <x v="0"/>
    <n v="34197.050000000003"/>
    <x v="0"/>
  </r>
  <r>
    <x v="897"/>
    <s v="Barbara Johnson"/>
    <n v="60"/>
    <x v="1"/>
    <x v="6"/>
    <x v="519"/>
    <n v="1"/>
    <x v="2"/>
    <x v="21"/>
    <n v="647.75"/>
    <n v="0.8"/>
    <x v="0"/>
    <n v="647.75"/>
    <x v="0"/>
  </r>
  <r>
    <x v="898"/>
    <s v="Jessica Williams"/>
    <n v="5"/>
    <x v="1"/>
    <x v="512"/>
    <x v="520"/>
    <n v="5"/>
    <x v="3"/>
    <x v="24"/>
    <n v="3913.66"/>
    <n v="0.9"/>
    <x v="1"/>
    <n v="0"/>
    <x v="4"/>
  </r>
  <r>
    <x v="899"/>
    <s v="Christopher Perez"/>
    <n v="8"/>
    <x v="0"/>
    <x v="156"/>
    <x v="424"/>
    <n v="5"/>
    <x v="3"/>
    <x v="23"/>
    <n v="8364.6200000000008"/>
    <n v="1"/>
    <x v="0"/>
    <n v="8364.6200000000008"/>
    <x v="4"/>
  </r>
  <r>
    <x v="900"/>
    <s v="Betty Lewis"/>
    <n v="8"/>
    <x v="1"/>
    <x v="513"/>
    <x v="521"/>
    <n v="1"/>
    <x v="3"/>
    <x v="24"/>
    <n v="750.94"/>
    <n v="0.6"/>
    <x v="1"/>
    <n v="0"/>
    <x v="4"/>
  </r>
  <r>
    <x v="901"/>
    <s v="Nancy Clark"/>
    <n v="21"/>
    <x v="1"/>
    <x v="514"/>
    <x v="472"/>
    <n v="1"/>
    <x v="1"/>
    <x v="31"/>
    <n v="1602.23"/>
    <n v="0.9"/>
    <x v="0"/>
    <n v="1602.23"/>
    <x v="2"/>
  </r>
  <r>
    <x v="902"/>
    <s v="Richard Lee"/>
    <n v="26"/>
    <x v="0"/>
    <x v="242"/>
    <x v="522"/>
    <n v="3"/>
    <x v="4"/>
    <x v="14"/>
    <n v="3905.3"/>
    <n v="0.8"/>
    <x v="1"/>
    <n v="0"/>
    <x v="2"/>
  </r>
  <r>
    <x v="903"/>
    <s v="Anthony Garcia"/>
    <n v="56"/>
    <x v="0"/>
    <x v="198"/>
    <x v="523"/>
    <n v="4"/>
    <x v="0"/>
    <x v="6"/>
    <n v="10882.46"/>
    <n v="0"/>
    <x v="2"/>
    <n v="0"/>
    <x v="0"/>
  </r>
  <r>
    <x v="904"/>
    <s v="Karen Brown"/>
    <n v="40"/>
    <x v="1"/>
    <x v="467"/>
    <x v="439"/>
    <n v="4"/>
    <x v="2"/>
    <x v="10"/>
    <n v="3645.87"/>
    <n v="0.7"/>
    <x v="1"/>
    <n v="0"/>
    <x v="3"/>
  </r>
  <r>
    <x v="905"/>
    <s v="Emily Perez"/>
    <n v="40"/>
    <x v="1"/>
    <x v="128"/>
    <x v="98"/>
    <n v="6"/>
    <x v="2"/>
    <x v="33"/>
    <n v="5871.8"/>
    <n v="0.9"/>
    <x v="2"/>
    <n v="0"/>
    <x v="3"/>
  </r>
  <r>
    <x v="906"/>
    <s v="Barbara Smith"/>
    <n v="34"/>
    <x v="1"/>
    <x v="89"/>
    <x v="80"/>
    <n v="3"/>
    <x v="2"/>
    <x v="21"/>
    <n v="2527.5100000000002"/>
    <n v="0.6"/>
    <x v="1"/>
    <n v="0"/>
    <x v="2"/>
  </r>
  <r>
    <x v="907"/>
    <s v="Lisa Brown"/>
    <n v="40"/>
    <x v="1"/>
    <x v="511"/>
    <x v="459"/>
    <n v="6"/>
    <x v="0"/>
    <x v="0"/>
    <n v="11311.32"/>
    <n v="1"/>
    <x v="1"/>
    <n v="0"/>
    <x v="3"/>
  </r>
  <r>
    <x v="908"/>
    <s v="Brian White"/>
    <n v="35"/>
    <x v="0"/>
    <x v="251"/>
    <x v="257"/>
    <n v="6"/>
    <x v="4"/>
    <x v="26"/>
    <n v="14294.04"/>
    <n v="0.8"/>
    <x v="0"/>
    <n v="14294.04"/>
    <x v="2"/>
  </r>
  <r>
    <x v="909"/>
    <s v="Nancy White"/>
    <n v="15"/>
    <x v="1"/>
    <x v="155"/>
    <x v="342"/>
    <n v="2"/>
    <x v="3"/>
    <x v="23"/>
    <n v="3325.48"/>
    <n v="0.6"/>
    <x v="0"/>
    <n v="3325.48"/>
    <x v="4"/>
  </r>
  <r>
    <x v="910"/>
    <s v="Brian White"/>
    <n v="84"/>
    <x v="0"/>
    <x v="515"/>
    <x v="14"/>
    <n v="1"/>
    <x v="2"/>
    <x v="8"/>
    <n v="583.35"/>
    <n v="0.5"/>
    <x v="2"/>
    <n v="0"/>
    <x v="1"/>
  </r>
  <r>
    <x v="911"/>
    <s v="Matthew Ramirez"/>
    <n v="54"/>
    <x v="0"/>
    <x v="516"/>
    <x v="290"/>
    <n v="6"/>
    <x v="2"/>
    <x v="33"/>
    <n v="6644.98"/>
    <n v="0.9"/>
    <x v="0"/>
    <n v="6644.98"/>
    <x v="0"/>
  </r>
  <r>
    <x v="912"/>
    <s v="Kevin Miller"/>
    <n v="75"/>
    <x v="0"/>
    <x v="312"/>
    <x v="323"/>
    <n v="4"/>
    <x v="4"/>
    <x v="11"/>
    <n v="6709.11"/>
    <n v="0.8"/>
    <x v="2"/>
    <n v="0"/>
    <x v="1"/>
  </r>
  <r>
    <x v="913"/>
    <s v="Kenneth Rodriguez"/>
    <n v="32"/>
    <x v="0"/>
    <x v="291"/>
    <x v="343"/>
    <n v="4"/>
    <x v="5"/>
    <x v="28"/>
    <n v="7216.27"/>
    <n v="0.8"/>
    <x v="1"/>
    <n v="0"/>
    <x v="2"/>
  </r>
  <r>
    <x v="914"/>
    <s v="Matthew Young"/>
    <n v="45"/>
    <x v="0"/>
    <x v="34"/>
    <x v="524"/>
    <n v="9"/>
    <x v="5"/>
    <x v="34"/>
    <n v="13906.96"/>
    <n v="0.8"/>
    <x v="0"/>
    <n v="13906.96"/>
    <x v="3"/>
  </r>
  <r>
    <x v="915"/>
    <s v="Thomas Lopez"/>
    <n v="68"/>
    <x v="0"/>
    <x v="35"/>
    <x v="525"/>
    <n v="10"/>
    <x v="4"/>
    <x v="18"/>
    <n v="19370.95"/>
    <n v="0.7"/>
    <x v="1"/>
    <n v="0"/>
    <x v="1"/>
  </r>
  <r>
    <x v="916"/>
    <s v="Ashley Johnson"/>
    <n v="42"/>
    <x v="1"/>
    <x v="487"/>
    <x v="408"/>
    <n v="7"/>
    <x v="2"/>
    <x v="10"/>
    <n v="4618.17"/>
    <n v="0.5"/>
    <x v="2"/>
    <n v="0"/>
    <x v="3"/>
  </r>
  <r>
    <x v="917"/>
    <s v="Brian Clark"/>
    <n v="35"/>
    <x v="0"/>
    <x v="361"/>
    <x v="180"/>
    <n v="3"/>
    <x v="2"/>
    <x v="10"/>
    <n v="4249.75"/>
    <n v="0.7"/>
    <x v="2"/>
    <n v="0"/>
    <x v="2"/>
  </r>
  <r>
    <x v="918"/>
    <s v="Daniel Perez"/>
    <n v="60"/>
    <x v="0"/>
    <x v="294"/>
    <x v="526"/>
    <n v="4"/>
    <x v="0"/>
    <x v="0"/>
    <n v="6532.53"/>
    <n v="0.8"/>
    <x v="2"/>
    <n v="0"/>
    <x v="0"/>
  </r>
  <r>
    <x v="919"/>
    <s v="Michelle Rodriguez"/>
    <n v="60"/>
    <x v="1"/>
    <x v="463"/>
    <x v="527"/>
    <n v="5"/>
    <x v="5"/>
    <x v="35"/>
    <n v="5729.57"/>
    <n v="0.6"/>
    <x v="0"/>
    <n v="5729.57"/>
    <x v="0"/>
  </r>
  <r>
    <x v="920"/>
    <s v="Nancy Lee"/>
    <n v="21"/>
    <x v="1"/>
    <x v="517"/>
    <x v="434"/>
    <n v="2"/>
    <x v="2"/>
    <x v="16"/>
    <n v="2997.87"/>
    <n v="0.7"/>
    <x v="0"/>
    <n v="2997.87"/>
    <x v="2"/>
  </r>
  <r>
    <x v="921"/>
    <s v="Thomas Williams"/>
    <n v="54"/>
    <x v="0"/>
    <x v="85"/>
    <x v="299"/>
    <n v="6"/>
    <x v="2"/>
    <x v="10"/>
    <n v="7526.27"/>
    <n v="0.8"/>
    <x v="0"/>
    <n v="7526.27"/>
    <x v="0"/>
  </r>
  <r>
    <x v="922"/>
    <s v="Emily Harris"/>
    <n v="29"/>
    <x v="1"/>
    <x v="105"/>
    <x v="528"/>
    <n v="2"/>
    <x v="1"/>
    <x v="2"/>
    <n v="4378.0200000000004"/>
    <n v="0.8"/>
    <x v="0"/>
    <n v="4378.0200000000004"/>
    <x v="2"/>
  </r>
  <r>
    <x v="923"/>
    <s v="Linda Smith"/>
    <n v="36"/>
    <x v="1"/>
    <x v="301"/>
    <x v="529"/>
    <n v="8"/>
    <x v="4"/>
    <x v="27"/>
    <n v="17866.580000000002"/>
    <n v="0.9"/>
    <x v="2"/>
    <n v="0"/>
    <x v="3"/>
  </r>
  <r>
    <x v="924"/>
    <s v="Michael White"/>
    <n v="79"/>
    <x v="0"/>
    <x v="518"/>
    <x v="530"/>
    <n v="4"/>
    <x v="0"/>
    <x v="20"/>
    <n v="5517.67"/>
    <n v="0.9"/>
    <x v="0"/>
    <n v="5517.67"/>
    <x v="1"/>
  </r>
  <r>
    <x v="925"/>
    <s v="Lisa Williams"/>
    <n v="48"/>
    <x v="1"/>
    <x v="480"/>
    <x v="508"/>
    <n v="7"/>
    <x v="5"/>
    <x v="30"/>
    <n v="14595.77"/>
    <n v="0.8"/>
    <x v="0"/>
    <n v="14595.77"/>
    <x v="3"/>
  </r>
  <r>
    <x v="926"/>
    <s v="Daniel Ramirez"/>
    <n v="42"/>
    <x v="0"/>
    <x v="175"/>
    <x v="4"/>
    <n v="1"/>
    <x v="2"/>
    <x v="8"/>
    <n v="543.05999999999995"/>
    <n v="0.5"/>
    <x v="0"/>
    <n v="543.05999999999995"/>
    <x v="3"/>
  </r>
  <r>
    <x v="927"/>
    <s v="Linda Hernandez"/>
    <n v="25"/>
    <x v="1"/>
    <x v="469"/>
    <x v="388"/>
    <n v="5"/>
    <x v="4"/>
    <x v="13"/>
    <n v="5082.0600000000004"/>
    <n v="0"/>
    <x v="1"/>
    <n v="0"/>
    <x v="2"/>
  </r>
  <r>
    <x v="928"/>
    <s v="Joshua Jackson"/>
    <n v="38"/>
    <x v="0"/>
    <x v="331"/>
    <x v="126"/>
    <n v="2"/>
    <x v="1"/>
    <x v="31"/>
    <n v="2871.13"/>
    <n v="0.9"/>
    <x v="0"/>
    <n v="2871.13"/>
    <x v="3"/>
  </r>
  <r>
    <x v="929"/>
    <s v="Sandra Anderson"/>
    <n v="67"/>
    <x v="1"/>
    <x v="38"/>
    <x v="168"/>
    <n v="2"/>
    <x v="4"/>
    <x v="18"/>
    <n v="4425.1499999999996"/>
    <n v="0.7"/>
    <x v="0"/>
    <n v="4425.1499999999996"/>
    <x v="1"/>
  </r>
  <r>
    <x v="930"/>
    <s v="Jennifer Walker"/>
    <n v="28"/>
    <x v="1"/>
    <x v="361"/>
    <x v="437"/>
    <n v="1"/>
    <x v="1"/>
    <x v="7"/>
    <n v="1958.56"/>
    <n v="0.8"/>
    <x v="0"/>
    <n v="1958.56"/>
    <x v="2"/>
  </r>
  <r>
    <x v="931"/>
    <s v="Mark Johnson"/>
    <n v="68"/>
    <x v="0"/>
    <x v="262"/>
    <x v="421"/>
    <n v="2"/>
    <x v="2"/>
    <x v="8"/>
    <n v="2268.81"/>
    <n v="0.8"/>
    <x v="0"/>
    <n v="2268.81"/>
    <x v="1"/>
  </r>
  <r>
    <x v="932"/>
    <s v="James Jones"/>
    <n v="41"/>
    <x v="0"/>
    <x v="82"/>
    <x v="531"/>
    <n v="9"/>
    <x v="5"/>
    <x v="12"/>
    <n v="22621.47"/>
    <n v="0.7"/>
    <x v="2"/>
    <n v="0"/>
    <x v="3"/>
  </r>
  <r>
    <x v="933"/>
    <s v="Mary Young"/>
    <n v="46"/>
    <x v="1"/>
    <x v="190"/>
    <x v="320"/>
    <n v="3"/>
    <x v="4"/>
    <x v="14"/>
    <n v="3972.12"/>
    <n v="0.5"/>
    <x v="1"/>
    <n v="0"/>
    <x v="3"/>
  </r>
  <r>
    <x v="934"/>
    <s v="Susan Brown"/>
    <n v="16"/>
    <x v="1"/>
    <x v="130"/>
    <x v="532"/>
    <n v="1"/>
    <x v="3"/>
    <x v="9"/>
    <n v="921.67"/>
    <n v="1"/>
    <x v="0"/>
    <n v="921.67"/>
    <x v="4"/>
  </r>
  <r>
    <x v="935"/>
    <s v="Elizabeth Rodriguez"/>
    <n v="48"/>
    <x v="1"/>
    <x v="519"/>
    <x v="140"/>
    <n v="2"/>
    <x v="1"/>
    <x v="15"/>
    <n v="3783.41"/>
    <n v="0.7"/>
    <x v="1"/>
    <n v="0"/>
    <x v="3"/>
  </r>
  <r>
    <x v="936"/>
    <s v="David Anderson"/>
    <n v="31"/>
    <x v="0"/>
    <x v="61"/>
    <x v="355"/>
    <n v="3"/>
    <x v="1"/>
    <x v="31"/>
    <n v="3007.82"/>
    <n v="0.6"/>
    <x v="1"/>
    <n v="0"/>
    <x v="2"/>
  </r>
  <r>
    <x v="937"/>
    <s v="Michael Jones"/>
    <n v="12"/>
    <x v="0"/>
    <x v="520"/>
    <x v="530"/>
    <n v="5"/>
    <x v="3"/>
    <x v="37"/>
    <n v="6547.21"/>
    <n v="0.8"/>
    <x v="2"/>
    <n v="0"/>
    <x v="4"/>
  </r>
  <r>
    <x v="938"/>
    <s v="Richard Wilson"/>
    <n v="79"/>
    <x v="0"/>
    <x v="164"/>
    <x v="162"/>
    <n v="6"/>
    <x v="5"/>
    <x v="30"/>
    <n v="6760.22"/>
    <n v="0.9"/>
    <x v="0"/>
    <n v="6760.22"/>
    <x v="1"/>
  </r>
  <r>
    <x v="939"/>
    <s v="Robert Perez"/>
    <n v="48"/>
    <x v="0"/>
    <x v="288"/>
    <x v="368"/>
    <n v="3"/>
    <x v="2"/>
    <x v="16"/>
    <n v="3865.55"/>
    <n v="0.8"/>
    <x v="0"/>
    <n v="3865.55"/>
    <x v="3"/>
  </r>
  <r>
    <x v="940"/>
    <s v="Steven Young"/>
    <n v="43"/>
    <x v="0"/>
    <x v="484"/>
    <x v="343"/>
    <n v="6"/>
    <x v="2"/>
    <x v="10"/>
    <n v="5921.38"/>
    <n v="0.7"/>
    <x v="0"/>
    <n v="5921.38"/>
    <x v="3"/>
  </r>
  <r>
    <x v="941"/>
    <s v="Christopher Lewis"/>
    <n v="34"/>
    <x v="0"/>
    <x v="8"/>
    <x v="425"/>
    <n v="9"/>
    <x v="4"/>
    <x v="18"/>
    <n v="11299.89"/>
    <n v="1"/>
    <x v="1"/>
    <n v="0"/>
    <x v="2"/>
  </r>
  <r>
    <x v="942"/>
    <s v="Barbara Jackson"/>
    <n v="15"/>
    <x v="1"/>
    <x v="90"/>
    <x v="533"/>
    <n v="4"/>
    <x v="3"/>
    <x v="23"/>
    <n v="4061.69"/>
    <n v="0.6"/>
    <x v="0"/>
    <n v="4061.69"/>
    <x v="4"/>
  </r>
  <r>
    <x v="943"/>
    <s v="Ashley White"/>
    <n v="9"/>
    <x v="1"/>
    <x v="249"/>
    <x v="534"/>
    <n v="1"/>
    <x v="3"/>
    <x v="23"/>
    <n v="1243.02"/>
    <n v="0.8"/>
    <x v="0"/>
    <n v="1243.02"/>
    <x v="4"/>
  </r>
  <r>
    <x v="944"/>
    <s v="Andrew Ramirez"/>
    <n v="70"/>
    <x v="0"/>
    <x v="283"/>
    <x v="535"/>
    <n v="7"/>
    <x v="4"/>
    <x v="18"/>
    <n v="18613.240000000002"/>
    <n v="0.8"/>
    <x v="0"/>
    <n v="18613.240000000002"/>
    <x v="1"/>
  </r>
  <r>
    <x v="945"/>
    <s v="Betty Robinson"/>
    <n v="31"/>
    <x v="1"/>
    <x v="521"/>
    <x v="328"/>
    <n v="3"/>
    <x v="5"/>
    <x v="12"/>
    <n v="4541.45"/>
    <n v="0.6"/>
    <x v="0"/>
    <n v="4541.45"/>
    <x v="2"/>
  </r>
  <r>
    <x v="946"/>
    <s v="Kevin Harris"/>
    <n v="65"/>
    <x v="0"/>
    <x v="10"/>
    <x v="536"/>
    <n v="5"/>
    <x v="0"/>
    <x v="1"/>
    <n v="14897.36"/>
    <n v="1"/>
    <x v="0"/>
    <n v="14897.36"/>
    <x v="0"/>
  </r>
  <r>
    <x v="947"/>
    <s v="Kenneth Lewis"/>
    <n v="60"/>
    <x v="0"/>
    <x v="329"/>
    <x v="243"/>
    <n v="5"/>
    <x v="4"/>
    <x v="18"/>
    <n v="5557.59"/>
    <n v="0.7"/>
    <x v="2"/>
    <n v="0"/>
    <x v="0"/>
  </r>
  <r>
    <x v="948"/>
    <s v="Carol Jones"/>
    <n v="59"/>
    <x v="1"/>
    <x v="6"/>
    <x v="487"/>
    <n v="6"/>
    <x v="0"/>
    <x v="29"/>
    <n v="14526.47"/>
    <n v="0.9"/>
    <x v="0"/>
    <n v="14526.47"/>
    <x v="0"/>
  </r>
  <r>
    <x v="949"/>
    <s v="Lisa Lopez"/>
    <n v="33"/>
    <x v="1"/>
    <x v="477"/>
    <x v="157"/>
    <n v="7"/>
    <x v="2"/>
    <x v="33"/>
    <n v="6592.81"/>
    <n v="0.8"/>
    <x v="1"/>
    <n v="0"/>
    <x v="2"/>
  </r>
  <r>
    <x v="950"/>
    <s v="Elizabeth Johnson"/>
    <n v="45"/>
    <x v="1"/>
    <x v="356"/>
    <x v="537"/>
    <n v="4"/>
    <x v="2"/>
    <x v="21"/>
    <n v="5811.71"/>
    <n v="0.8"/>
    <x v="0"/>
    <n v="5811.71"/>
    <x v="3"/>
  </r>
  <r>
    <x v="951"/>
    <s v="Barbara Harris"/>
    <n v="72"/>
    <x v="1"/>
    <x v="234"/>
    <x v="538"/>
    <n v="7"/>
    <x v="4"/>
    <x v="27"/>
    <n v="15420.8"/>
    <n v="0.6"/>
    <x v="2"/>
    <n v="0"/>
    <x v="1"/>
  </r>
  <r>
    <x v="952"/>
    <s v="Nancy Jones"/>
    <n v="31"/>
    <x v="1"/>
    <x v="383"/>
    <x v="58"/>
    <n v="11"/>
    <x v="4"/>
    <x v="13"/>
    <n v="28706.36"/>
    <n v="0.8"/>
    <x v="0"/>
    <n v="28706.36"/>
    <x v="2"/>
  </r>
  <r>
    <x v="953"/>
    <s v="Sandra Thompson"/>
    <n v="78"/>
    <x v="1"/>
    <x v="522"/>
    <x v="207"/>
    <n v="6"/>
    <x v="0"/>
    <x v="0"/>
    <n v="10923.17"/>
    <n v="0.9"/>
    <x v="1"/>
    <n v="0"/>
    <x v="1"/>
  </r>
  <r>
    <x v="954"/>
    <s v="Jennifer Clark"/>
    <n v="52"/>
    <x v="1"/>
    <x v="523"/>
    <x v="539"/>
    <n v="9"/>
    <x v="5"/>
    <x v="28"/>
    <n v="20558.88"/>
    <n v="0.9"/>
    <x v="0"/>
    <n v="20558.88"/>
    <x v="0"/>
  </r>
  <r>
    <x v="955"/>
    <s v="Kenneth Wilson"/>
    <n v="41"/>
    <x v="0"/>
    <x v="524"/>
    <x v="73"/>
    <n v="1"/>
    <x v="2"/>
    <x v="5"/>
    <n v="759.83"/>
    <n v="0.7"/>
    <x v="0"/>
    <n v="759.83"/>
    <x v="3"/>
  </r>
  <r>
    <x v="956"/>
    <s v="Sandra Anderson"/>
    <n v="32"/>
    <x v="1"/>
    <x v="152"/>
    <x v="151"/>
    <n v="2"/>
    <x v="1"/>
    <x v="15"/>
    <n v="2012.29"/>
    <n v="0.7"/>
    <x v="0"/>
    <n v="2012.29"/>
    <x v="2"/>
  </r>
  <r>
    <x v="957"/>
    <s v="Paul Walker"/>
    <n v="39"/>
    <x v="0"/>
    <x v="507"/>
    <x v="457"/>
    <n v="6"/>
    <x v="4"/>
    <x v="11"/>
    <n v="16229.56"/>
    <n v="0.9"/>
    <x v="0"/>
    <n v="16229.56"/>
    <x v="3"/>
  </r>
  <r>
    <x v="958"/>
    <s v="Joseph Jackson"/>
    <n v="52"/>
    <x v="0"/>
    <x v="377"/>
    <x v="351"/>
    <n v="6"/>
    <x v="2"/>
    <x v="5"/>
    <n v="8478.0300000000007"/>
    <n v="0.7"/>
    <x v="2"/>
    <n v="0"/>
    <x v="0"/>
  </r>
  <r>
    <x v="959"/>
    <s v="Michelle Robinson"/>
    <n v="58"/>
    <x v="1"/>
    <x v="336"/>
    <x v="212"/>
    <n v="10"/>
    <x v="5"/>
    <x v="28"/>
    <n v="23264.42"/>
    <n v="0.6"/>
    <x v="0"/>
    <n v="23264.42"/>
    <x v="0"/>
  </r>
  <r>
    <x v="960"/>
    <s v="Betty Garcia"/>
    <n v="82"/>
    <x v="1"/>
    <x v="400"/>
    <x v="402"/>
    <n v="4"/>
    <x v="2"/>
    <x v="10"/>
    <n v="4983.18"/>
    <n v="0.8"/>
    <x v="2"/>
    <n v="0"/>
    <x v="1"/>
  </r>
  <r>
    <x v="961"/>
    <s v="Jennifer Martin"/>
    <n v="47"/>
    <x v="1"/>
    <x v="525"/>
    <x v="165"/>
    <n v="6"/>
    <x v="2"/>
    <x v="10"/>
    <n v="7613.41"/>
    <n v="0.9"/>
    <x v="0"/>
    <n v="7613.41"/>
    <x v="3"/>
  </r>
  <r>
    <x v="962"/>
    <s v="William Jones"/>
    <n v="37"/>
    <x v="0"/>
    <x v="2"/>
    <x v="496"/>
    <n v="1"/>
    <x v="1"/>
    <x v="32"/>
    <n v="2431.81"/>
    <n v="0.8"/>
    <x v="0"/>
    <n v="2431.81"/>
    <x v="3"/>
  </r>
  <r>
    <x v="963"/>
    <s v="Mary Jackson"/>
    <n v="61"/>
    <x v="1"/>
    <x v="107"/>
    <x v="212"/>
    <n v="2"/>
    <x v="2"/>
    <x v="33"/>
    <n v="1073.8900000000001"/>
    <n v="0.7"/>
    <x v="1"/>
    <n v="0"/>
    <x v="0"/>
  </r>
  <r>
    <x v="964"/>
    <s v="Emily Ramirez"/>
    <n v="70"/>
    <x v="1"/>
    <x v="169"/>
    <x v="469"/>
    <n v="10"/>
    <x v="0"/>
    <x v="19"/>
    <n v="19302.61"/>
    <n v="1"/>
    <x v="2"/>
    <n v="0"/>
    <x v="1"/>
  </r>
  <r>
    <x v="965"/>
    <s v="Kimberly Anderson"/>
    <n v="68"/>
    <x v="1"/>
    <x v="351"/>
    <x v="241"/>
    <n v="6"/>
    <x v="2"/>
    <x v="21"/>
    <n v="4686.18"/>
    <n v="1"/>
    <x v="0"/>
    <n v="4686.18"/>
    <x v="1"/>
  </r>
  <r>
    <x v="966"/>
    <s v="Karen Martin"/>
    <n v="7"/>
    <x v="1"/>
    <x v="394"/>
    <x v="396"/>
    <n v="3"/>
    <x v="3"/>
    <x v="37"/>
    <n v="3301.8"/>
    <n v="0.7"/>
    <x v="2"/>
    <n v="0"/>
    <x v="4"/>
  </r>
  <r>
    <x v="967"/>
    <s v="Jessica Hernandez"/>
    <n v="57"/>
    <x v="1"/>
    <x v="369"/>
    <x v="535"/>
    <n v="3"/>
    <x v="4"/>
    <x v="11"/>
    <n v="5980.45"/>
    <n v="1"/>
    <x v="0"/>
    <n v="5980.45"/>
    <x v="0"/>
  </r>
  <r>
    <x v="968"/>
    <s v="Donna Thomas"/>
    <n v="34"/>
    <x v="1"/>
    <x v="359"/>
    <x v="142"/>
    <n v="4"/>
    <x v="2"/>
    <x v="10"/>
    <n v="5054.45"/>
    <n v="0.6"/>
    <x v="1"/>
    <n v="0"/>
    <x v="2"/>
  </r>
  <r>
    <x v="969"/>
    <s v="Thomas Brown"/>
    <n v="52"/>
    <x v="0"/>
    <x v="526"/>
    <x v="540"/>
    <n v="2"/>
    <x v="1"/>
    <x v="31"/>
    <n v="3102.51"/>
    <n v="0.9"/>
    <x v="0"/>
    <n v="3102.51"/>
    <x v="0"/>
  </r>
  <r>
    <x v="970"/>
    <s v="Joshua Taylor"/>
    <n v="66"/>
    <x v="0"/>
    <x v="93"/>
    <x v="273"/>
    <n v="7"/>
    <x v="4"/>
    <x v="18"/>
    <n v="7068.71"/>
    <n v="0.7"/>
    <x v="2"/>
    <n v="0"/>
    <x v="1"/>
  </r>
  <r>
    <x v="971"/>
    <s v="James Garcia"/>
    <n v="59"/>
    <x v="0"/>
    <x v="316"/>
    <x v="56"/>
    <n v="4"/>
    <x v="4"/>
    <x v="13"/>
    <n v="7018.51"/>
    <n v="0.8"/>
    <x v="0"/>
    <n v="7018.51"/>
    <x v="0"/>
  </r>
  <r>
    <x v="972"/>
    <s v="Donna Young"/>
    <n v="17"/>
    <x v="1"/>
    <x v="118"/>
    <x v="541"/>
    <n v="1"/>
    <x v="3"/>
    <x v="23"/>
    <n v="895.4"/>
    <n v="0.7"/>
    <x v="1"/>
    <n v="0"/>
    <x v="4"/>
  </r>
  <r>
    <x v="973"/>
    <s v="Linda Lewis"/>
    <n v="25"/>
    <x v="1"/>
    <x v="227"/>
    <x v="136"/>
    <n v="5"/>
    <x v="2"/>
    <x v="8"/>
    <n v="5857.12"/>
    <n v="0.7"/>
    <x v="0"/>
    <n v="5857.12"/>
    <x v="2"/>
  </r>
  <r>
    <x v="974"/>
    <s v="Emily Walker"/>
    <n v="22"/>
    <x v="1"/>
    <x v="394"/>
    <x v="396"/>
    <n v="3"/>
    <x v="1"/>
    <x v="15"/>
    <n v="5212.57"/>
    <n v="0.9"/>
    <x v="0"/>
    <n v="5212.57"/>
    <x v="2"/>
  </r>
  <r>
    <x v="975"/>
    <s v="Kenneth Garcia"/>
    <n v="73"/>
    <x v="0"/>
    <x v="400"/>
    <x v="542"/>
    <n v="7"/>
    <x v="0"/>
    <x v="29"/>
    <n v="18256.04"/>
    <n v="0.7"/>
    <x v="1"/>
    <n v="0"/>
    <x v="1"/>
  </r>
  <r>
    <x v="976"/>
    <s v="Carol Thomas"/>
    <n v="40"/>
    <x v="1"/>
    <x v="51"/>
    <x v="481"/>
    <n v="10"/>
    <x v="0"/>
    <x v="0"/>
    <n v="22950.92"/>
    <n v="0.8"/>
    <x v="0"/>
    <n v="22950.92"/>
    <x v="3"/>
  </r>
  <r>
    <x v="977"/>
    <s v="Andrew Young"/>
    <n v="65"/>
    <x v="0"/>
    <x v="18"/>
    <x v="432"/>
    <n v="7"/>
    <x v="2"/>
    <x v="21"/>
    <n v="9174.23"/>
    <n v="0.6"/>
    <x v="2"/>
    <n v="0"/>
    <x v="0"/>
  </r>
  <r>
    <x v="978"/>
    <s v="Donna Williams"/>
    <n v="18"/>
    <x v="1"/>
    <x v="438"/>
    <x v="543"/>
    <n v="3"/>
    <x v="2"/>
    <x v="33"/>
    <n v="2502.7600000000002"/>
    <n v="0.8"/>
    <x v="0"/>
    <n v="2502.7600000000002"/>
    <x v="2"/>
  </r>
  <r>
    <x v="979"/>
    <s v="Daniel Jackson"/>
    <n v="43"/>
    <x v="0"/>
    <x v="232"/>
    <x v="333"/>
    <n v="3"/>
    <x v="1"/>
    <x v="31"/>
    <n v="6927.74"/>
    <n v="0.9"/>
    <x v="0"/>
    <n v="6927.74"/>
    <x v="3"/>
  </r>
  <r>
    <x v="980"/>
    <s v="Sarah Robinson"/>
    <n v="54"/>
    <x v="1"/>
    <x v="495"/>
    <x v="187"/>
    <n v="5"/>
    <x v="2"/>
    <x v="8"/>
    <n v="4663.1899999999996"/>
    <n v="0.8"/>
    <x v="0"/>
    <n v="4663.1899999999996"/>
    <x v="0"/>
  </r>
  <r>
    <x v="981"/>
    <s v="Susan Lewis"/>
    <n v="55"/>
    <x v="1"/>
    <x v="369"/>
    <x v="415"/>
    <n v="8"/>
    <x v="4"/>
    <x v="11"/>
    <n v="20435.29"/>
    <n v="0.7"/>
    <x v="2"/>
    <n v="0"/>
    <x v="0"/>
  </r>
  <r>
    <x v="982"/>
    <s v="Mary Martin"/>
    <n v="81"/>
    <x v="1"/>
    <x v="527"/>
    <x v="544"/>
    <n v="2"/>
    <x v="2"/>
    <x v="8"/>
    <n v="1278.31"/>
    <n v="0.6"/>
    <x v="1"/>
    <n v="0"/>
    <x v="1"/>
  </r>
  <r>
    <x v="983"/>
    <s v="Richard Perez"/>
    <n v="44"/>
    <x v="0"/>
    <x v="330"/>
    <x v="339"/>
    <n v="3"/>
    <x v="1"/>
    <x v="32"/>
    <n v="6875.52"/>
    <n v="0.7"/>
    <x v="0"/>
    <n v="6875.52"/>
    <x v="3"/>
  </r>
  <r>
    <x v="984"/>
    <s v="Elizabeth Lopez"/>
    <n v="57"/>
    <x v="1"/>
    <x v="114"/>
    <x v="144"/>
    <n v="6"/>
    <x v="5"/>
    <x v="28"/>
    <n v="14894.02"/>
    <n v="0.6"/>
    <x v="0"/>
    <n v="14894.02"/>
    <x v="0"/>
  </r>
  <r>
    <x v="985"/>
    <s v="Sandra Lewis"/>
    <n v="55"/>
    <x v="1"/>
    <x v="528"/>
    <x v="545"/>
    <n v="8"/>
    <x v="4"/>
    <x v="27"/>
    <n v="16185.6"/>
    <n v="1"/>
    <x v="0"/>
    <n v="16185.6"/>
    <x v="0"/>
  </r>
  <r>
    <x v="986"/>
    <s v="Sarah Garcia"/>
    <n v="64"/>
    <x v="1"/>
    <x v="143"/>
    <x v="187"/>
    <n v="4"/>
    <x v="2"/>
    <x v="5"/>
    <n v="4017.98"/>
    <n v="1"/>
    <x v="0"/>
    <n v="4017.98"/>
    <x v="0"/>
  </r>
  <r>
    <x v="987"/>
    <s v="Dorothy Thompson"/>
    <n v="1"/>
    <x v="1"/>
    <x v="529"/>
    <x v="546"/>
    <n v="2"/>
    <x v="3"/>
    <x v="24"/>
    <n v="1260.77"/>
    <n v="0.8"/>
    <x v="1"/>
    <n v="0"/>
    <x v="4"/>
  </r>
  <r>
    <x v="988"/>
    <s v="Barbara Rodriguez"/>
    <n v="14"/>
    <x v="1"/>
    <x v="394"/>
    <x v="221"/>
    <n v="2"/>
    <x v="3"/>
    <x v="37"/>
    <n v="2626.23"/>
    <n v="0.6"/>
    <x v="1"/>
    <n v="0"/>
    <x v="4"/>
  </r>
  <r>
    <x v="989"/>
    <s v="Steven White"/>
    <n v="14"/>
    <x v="0"/>
    <x v="258"/>
    <x v="468"/>
    <n v="1"/>
    <x v="3"/>
    <x v="22"/>
    <n v="713.28"/>
    <n v="0"/>
    <x v="2"/>
    <n v="0"/>
    <x v="4"/>
  </r>
  <r>
    <x v="990"/>
    <s v="Dorothy Taylor"/>
    <n v="64"/>
    <x v="1"/>
    <x v="283"/>
    <x v="122"/>
    <n v="4"/>
    <x v="2"/>
    <x v="10"/>
    <n v="5579.15"/>
    <n v="0.6"/>
    <x v="1"/>
    <n v="0"/>
    <x v="0"/>
  </r>
  <r>
    <x v="991"/>
    <s v="Barbara Lee"/>
    <n v="2"/>
    <x v="1"/>
    <x v="467"/>
    <x v="547"/>
    <n v="3"/>
    <x v="3"/>
    <x v="25"/>
    <n v="3033.99"/>
    <n v="0.8"/>
    <x v="0"/>
    <n v="3033.99"/>
    <x v="4"/>
  </r>
  <r>
    <x v="992"/>
    <s v="Thomas Miller"/>
    <n v="43"/>
    <x v="0"/>
    <x v="374"/>
    <x v="41"/>
    <n v="2"/>
    <x v="1"/>
    <x v="2"/>
    <n v="4133.9399999999996"/>
    <n v="0.5"/>
    <x v="0"/>
    <n v="4133.9399999999996"/>
    <x v="3"/>
  </r>
  <r>
    <x v="993"/>
    <s v="Joseph Hernandez"/>
    <n v="10"/>
    <x v="0"/>
    <x v="124"/>
    <x v="548"/>
    <n v="4"/>
    <x v="3"/>
    <x v="37"/>
    <n v="4374.76"/>
    <n v="0.9"/>
    <x v="2"/>
    <n v="0"/>
    <x v="4"/>
  </r>
  <r>
    <x v="994"/>
    <s v="Kimberly Lopez"/>
    <n v="51"/>
    <x v="1"/>
    <x v="530"/>
    <x v="549"/>
    <n v="3"/>
    <x v="0"/>
    <x v="0"/>
    <n v="7839.78"/>
    <n v="0.9"/>
    <x v="1"/>
    <n v="0"/>
    <x v="0"/>
  </r>
  <r>
    <x v="995"/>
    <s v="Joshua Miller"/>
    <n v="58"/>
    <x v="0"/>
    <x v="528"/>
    <x v="550"/>
    <n v="4"/>
    <x v="0"/>
    <x v="19"/>
    <n v="10021"/>
    <n v="0.9"/>
    <x v="0"/>
    <n v="10021"/>
    <x v="0"/>
  </r>
  <r>
    <x v="996"/>
    <s v="Daniel White"/>
    <n v="75"/>
    <x v="0"/>
    <x v="476"/>
    <x v="306"/>
    <n v="5"/>
    <x v="2"/>
    <x v="33"/>
    <n v="6377.65"/>
    <n v="0.6"/>
    <x v="1"/>
    <n v="0"/>
    <x v="1"/>
  </r>
  <r>
    <x v="997"/>
    <s v="Ashley Brown"/>
    <n v="32"/>
    <x v="1"/>
    <x v="531"/>
    <x v="93"/>
    <n v="1"/>
    <x v="1"/>
    <x v="32"/>
    <n v="1020.62"/>
    <n v="0.6"/>
    <x v="0"/>
    <n v="1020.62"/>
    <x v="2"/>
  </r>
  <r>
    <x v="998"/>
    <s v="Robert Ramirez"/>
    <n v="56"/>
    <x v="0"/>
    <x v="532"/>
    <x v="540"/>
    <n v="1"/>
    <x v="1"/>
    <x v="15"/>
    <n v="2315.06"/>
    <n v="0.7"/>
    <x v="0"/>
    <n v="2315.06"/>
    <x v="0"/>
  </r>
  <r>
    <x v="999"/>
    <s v="Jennifer Ramirez"/>
    <n v="18"/>
    <x v="1"/>
    <x v="472"/>
    <x v="551"/>
    <n v="4"/>
    <x v="2"/>
    <x v="16"/>
    <n v="2235.16"/>
    <n v="1"/>
    <x v="2"/>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A9BAD-5C65-432B-9200-F9CC977DC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No. of Patient" fld="0" subtotal="count" baseField="0" baseItem="0" numFmtId="3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B29050-467A-4B8E-BFA1-953EA21422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Bill Amt." fld="9"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761496-5CF3-416C-B981-C300BEAC8FE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Age Category">
  <location ref="D7:E12"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defaultSubtotal="0">
      <items count="6">
        <item x="0"/>
        <item x="1"/>
        <item x="2"/>
        <item x="5"/>
        <item x="4"/>
        <item x="3"/>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pivotField numFmtId="164" showAll="0"/>
    <pivotField axis="axisRow" showAll="0" sortType="ascending">
      <items count="6">
        <item x="2"/>
        <item x="3"/>
        <item x="0"/>
        <item x="1"/>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
    <i>
      <x/>
    </i>
    <i>
      <x v="1"/>
    </i>
    <i>
      <x v="2"/>
    </i>
    <i>
      <x v="3"/>
    </i>
    <i>
      <x v="4"/>
    </i>
  </rowItems>
  <colItems count="1">
    <i/>
  </colItems>
  <dataFields count="1">
    <dataField name="No. of Patients" fld="0" subtotal="count" baseField="13" baseItem="0"/>
  </dataFields>
  <chartFormats count="18">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3" count="1" selected="0">
            <x v="0"/>
          </reference>
        </references>
      </pivotArea>
    </chartFormat>
    <chartFormat chart="7" format="3">
      <pivotArea type="data" outline="0" fieldPosition="0">
        <references count="2">
          <reference field="4294967294" count="1" selected="0">
            <x v="0"/>
          </reference>
          <reference field="13" count="1" selected="0">
            <x v="1"/>
          </reference>
        </references>
      </pivotArea>
    </chartFormat>
    <chartFormat chart="7" format="4">
      <pivotArea type="data" outline="0" fieldPosition="0">
        <references count="2">
          <reference field="4294967294" count="1" selected="0">
            <x v="0"/>
          </reference>
          <reference field="13" count="1" selected="0">
            <x v="2"/>
          </reference>
        </references>
      </pivotArea>
    </chartFormat>
    <chartFormat chart="7" format="5">
      <pivotArea type="data" outline="0" fieldPosition="0">
        <references count="2">
          <reference field="4294967294" count="1" selected="0">
            <x v="0"/>
          </reference>
          <reference field="13" count="1" selected="0">
            <x v="3"/>
          </reference>
        </references>
      </pivotArea>
    </chartFormat>
    <chartFormat chart="7" format="6">
      <pivotArea type="data" outline="0" fieldPosition="0">
        <references count="2">
          <reference field="4294967294" count="1" selected="0">
            <x v="0"/>
          </reference>
          <reference field="13"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3" count="1" selected="0">
            <x v="0"/>
          </reference>
        </references>
      </pivotArea>
    </chartFormat>
    <chartFormat chart="8" format="9">
      <pivotArea type="data" outline="0" fieldPosition="0">
        <references count="2">
          <reference field="4294967294" count="1" selected="0">
            <x v="0"/>
          </reference>
          <reference field="13" count="1" selected="0">
            <x v="1"/>
          </reference>
        </references>
      </pivotArea>
    </chartFormat>
    <chartFormat chart="8" format="10">
      <pivotArea type="data" outline="0" fieldPosition="0">
        <references count="2">
          <reference field="4294967294" count="1" selected="0">
            <x v="0"/>
          </reference>
          <reference field="13" count="1" selected="0">
            <x v="2"/>
          </reference>
        </references>
      </pivotArea>
    </chartFormat>
    <chartFormat chart="8" format="11">
      <pivotArea type="data" outline="0" fieldPosition="0">
        <references count="2">
          <reference field="4294967294" count="1" selected="0">
            <x v="0"/>
          </reference>
          <reference field="13" count="1" selected="0">
            <x v="3"/>
          </reference>
        </references>
      </pivotArea>
    </chartFormat>
    <chartFormat chart="8" format="12">
      <pivotArea type="data" outline="0" fieldPosition="0">
        <references count="2">
          <reference field="4294967294" count="1" selected="0">
            <x v="0"/>
          </reference>
          <reference field="1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3" count="1" selected="0">
            <x v="0"/>
          </reference>
        </references>
      </pivotArea>
    </chartFormat>
    <chartFormat chart="9" format="9">
      <pivotArea type="data" outline="0" fieldPosition="0">
        <references count="2">
          <reference field="4294967294" count="1" selected="0">
            <x v="0"/>
          </reference>
          <reference field="13" count="1" selected="0">
            <x v="1"/>
          </reference>
        </references>
      </pivotArea>
    </chartFormat>
    <chartFormat chart="9" format="10">
      <pivotArea type="data" outline="0" fieldPosition="0">
        <references count="2">
          <reference field="4294967294" count="1" selected="0">
            <x v="0"/>
          </reference>
          <reference field="13" count="1" selected="0">
            <x v="2"/>
          </reference>
        </references>
      </pivotArea>
    </chartFormat>
    <chartFormat chart="9" format="11">
      <pivotArea type="data" outline="0" fieldPosition="0">
        <references count="2">
          <reference field="4294967294" count="1" selected="0">
            <x v="0"/>
          </reference>
          <reference field="13" count="1" selected="0">
            <x v="3"/>
          </reference>
        </references>
      </pivotArea>
    </chartFormat>
    <chartFormat chart="9"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FE08BA-1399-479B-BE75-4E87F313904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Month/Year">
  <location ref="D15:E49"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axis="axisRow" numFmtId="165" showAll="0">
      <items count="534">
        <item sd="0" x="299"/>
        <item sd="0" x="294"/>
        <item sd="0" x="305"/>
        <item sd="0" x="129"/>
        <item sd="0" x="101"/>
        <item sd="0" x="313"/>
        <item sd="0" x="161"/>
        <item sd="0" x="202"/>
        <item sd="0" x="377"/>
        <item sd="0" x="297"/>
        <item sd="0" x="462"/>
        <item sd="0" x="317"/>
        <item sd="0" x="423"/>
        <item sd="0" x="387"/>
        <item sd="0" x="469"/>
        <item sd="0" x="411"/>
        <item sd="0" x="516"/>
        <item sd="0" x="74"/>
        <item sd="0" x="147"/>
        <item sd="0" x="282"/>
        <item sd="0" x="89"/>
        <item sd="0" x="383"/>
        <item sd="0" x="366"/>
        <item sd="0" x="405"/>
        <item sd="0" x="6"/>
        <item sd="0" x="158"/>
        <item sd="0" x="431"/>
        <item sd="0" x="475"/>
        <item sd="0" x="304"/>
        <item sd="0" x="321"/>
        <item sd="0" x="243"/>
        <item sd="0" x="233"/>
        <item sd="0" x="474"/>
        <item sd="0" x="7"/>
        <item sd="0" x="91"/>
        <item sd="0" x="226"/>
        <item sd="0" x="472"/>
        <item sd="0" x="337"/>
        <item sd="0" x="167"/>
        <item sd="0" x="117"/>
        <item sd="0" x="260"/>
        <item sd="0" x="179"/>
        <item sd="0" x="267"/>
        <item sd="0" x="256"/>
        <item sd="0" x="352"/>
        <item sd="0" x="170"/>
        <item sd="0" x="496"/>
        <item sd="0" x="446"/>
        <item sd="0" x="222"/>
        <item sd="0" x="403"/>
        <item sd="0" x="433"/>
        <item sd="0" x="23"/>
        <item sd="0" x="31"/>
        <item sd="0" x="54"/>
        <item sd="0" x="188"/>
        <item sd="0" x="316"/>
        <item sd="0" x="104"/>
        <item sd="0" x="292"/>
        <item sd="0" x="426"/>
        <item sd="0" x="424"/>
        <item sd="0" x="133"/>
        <item sd="0" x="484"/>
        <item sd="0" x="478"/>
        <item sd="0" x="291"/>
        <item sd="0" x="492"/>
        <item sd="0" x="2"/>
        <item sd="0" x="428"/>
        <item sd="0" x="115"/>
        <item sd="0" x="96"/>
        <item sd="0" x="90"/>
        <item sd="0" x="401"/>
        <item sd="0" x="241"/>
        <item sd="0" x="276"/>
        <item sd="0" x="113"/>
        <item sd="0" x="137"/>
        <item sd="0" x="98"/>
        <item sd="0" x="435"/>
        <item sd="0" x="59"/>
        <item sd="0" x="215"/>
        <item sd="0" x="391"/>
        <item sd="0" x="75"/>
        <item sd="0" x="493"/>
        <item sd="0" x="364"/>
        <item sd="0" x="504"/>
        <item sd="0" x="386"/>
        <item sd="0" x="130"/>
        <item sd="0" x="146"/>
        <item sd="0" x="430"/>
        <item sd="0" x="419"/>
        <item sd="0" x="102"/>
        <item sd="0" x="501"/>
        <item sd="0" x="327"/>
        <item sd="0" x="44"/>
        <item sd="0" x="255"/>
        <item sd="0" x="315"/>
        <item sd="0" x="342"/>
        <item sd="0" x="272"/>
        <item sd="0" x="110"/>
        <item sd="0" x="265"/>
        <item sd="0" x="56"/>
        <item sd="0" x="64"/>
        <item sd="0" x="345"/>
        <item sd="0" x="354"/>
        <item sd="0" x="17"/>
        <item sd="0" x="459"/>
        <item sd="0" x="303"/>
        <item sd="0" x="235"/>
        <item sd="0" x="296"/>
        <item sd="0" x="26"/>
        <item sd="0" x="251"/>
        <item sd="0" x="457"/>
        <item sd="0" x="507"/>
        <item sd="0" x="372"/>
        <item sd="0" x="487"/>
        <item sd="0" x="407"/>
        <item sd="0" x="277"/>
        <item sd="0" x="195"/>
        <item sd="0" x="123"/>
        <item sd="0" x="105"/>
        <item sd="0" x="512"/>
        <item sd="0" x="522"/>
        <item sd="0" x="25"/>
        <item sd="0" x="126"/>
        <item sd="0" x="30"/>
        <item sd="0" x="201"/>
        <item sd="0" x="141"/>
        <item sd="0" x="336"/>
        <item sd="0" x="373"/>
        <item sd="0" x="395"/>
        <item sd="0" x="145"/>
        <item sd="0" x="322"/>
        <item sd="0" x="347"/>
        <item sd="0" x="107"/>
        <item sd="0" x="49"/>
        <item sd="0" x="127"/>
        <item sd="0" x="333"/>
        <item sd="0" x="73"/>
        <item sd="0" x="258"/>
        <item sd="0" x="234"/>
        <item sd="0" x="0"/>
        <item sd="0" x="396"/>
        <item sd="0" x="43"/>
        <item sd="0" x="178"/>
        <item sd="0" x="432"/>
        <item sd="0" x="5"/>
        <item sd="0" x="368"/>
        <item sd="0" x="140"/>
        <item sd="0" x="398"/>
        <item sd="0" x="12"/>
        <item sd="0" x="413"/>
        <item sd="0" x="519"/>
        <item sd="0" x="349"/>
        <item sd="0" x="274"/>
        <item sd="0" x="236"/>
        <item sd="0" x="187"/>
        <item sd="0" x="184"/>
        <item sd="0" x="323"/>
        <item sd="0" x="144"/>
        <item sd="0" x="114"/>
        <item sd="0" x="384"/>
        <item sd="0" x="511"/>
        <item sd="0" x="249"/>
        <item sd="0" x="381"/>
        <item sd="0" x="456"/>
        <item sd="0" x="203"/>
        <item sd="0" x="390"/>
        <item sd="0" x="13"/>
        <item sd="0" x="273"/>
        <item sd="0" x="521"/>
        <item sd="0" x="307"/>
        <item sd="0" x="16"/>
        <item sd="0" x="109"/>
        <item sd="0" x="81"/>
        <item sd="0" x="218"/>
        <item sd="0" x="154"/>
        <item sd="0" x="293"/>
        <item sd="0" x="417"/>
        <item sd="0" x="422"/>
        <item sd="0" x="495"/>
        <item sd="0" x="143"/>
        <item sd="0" x="186"/>
        <item sd="0" x="139"/>
        <item sd="0" x="370"/>
        <item sd="0" x="248"/>
        <item sd="0" x="47"/>
        <item sd="0" x="228"/>
        <item sd="0" x="166"/>
        <item sd="0" x="385"/>
        <item sd="0" x="173"/>
        <item sd="0" x="453"/>
        <item sd="0" x="489"/>
        <item sd="0" x="193"/>
        <item sd="0" x="468"/>
        <item sd="0" x="450"/>
        <item sd="0" x="238"/>
        <item sd="0" x="314"/>
        <item sd="0" x="375"/>
        <item sd="0" x="29"/>
        <item sd="0" x="530"/>
        <item sd="0" x="278"/>
        <item sd="0" x="480"/>
        <item sd="0" x="488"/>
        <item sd="0" x="192"/>
        <item sd="0" x="50"/>
        <item sd="0" x="498"/>
        <item sd="0" x="460"/>
        <item sd="0" x="200"/>
        <item sd="0" x="229"/>
        <item sd="0" x="99"/>
        <item sd="0" x="301"/>
        <item sd="0" x="172"/>
        <item sd="0" x="68"/>
        <item sd="0" x="120"/>
        <item sd="0" x="3"/>
        <item sd="0" x="84"/>
        <item sd="0" x="290"/>
        <item sd="0" x="217"/>
        <item sd="0" x="283"/>
        <item sd="0" x="85"/>
        <item sd="0" x="289"/>
        <item sd="0" x="369"/>
        <item sd="0" x="466"/>
        <item sd="0" x="356"/>
        <item sd="0" x="339"/>
        <item sd="0" x="415"/>
        <item sd="0" x="111"/>
        <item sd="0" x="481"/>
        <item sd="0" x="505"/>
        <item sd="0" x="196"/>
        <item sd="0" x="340"/>
        <item sd="0" x="8"/>
        <item sd="0" x="53"/>
        <item sd="0" x="418"/>
        <item sd="0" x="485"/>
        <item sd="0" x="88"/>
        <item sd="0" x="22"/>
        <item sd="0" x="246"/>
        <item sd="0" x="148"/>
        <item sd="0" x="122"/>
        <item sd="0" x="4"/>
        <item sd="0" x="510"/>
        <item sd="0" x="207"/>
        <item sd="0" x="118"/>
        <item sd="0" x="175"/>
        <item sd="0" x="463"/>
        <item sd="0" x="100"/>
        <item sd="0" x="324"/>
        <item sd="0" x="500"/>
        <item sd="0" x="224"/>
        <item sd="0" x="429"/>
        <item sd="0" x="37"/>
        <item sd="0" x="42"/>
        <item sd="0" x="171"/>
        <item sd="0" x="302"/>
        <item sd="0" x="38"/>
        <item sd="0" x="445"/>
        <item sd="0" x="87"/>
        <item sd="0" x="135"/>
        <item sd="0" x="231"/>
        <item sd="0" x="18"/>
        <item sd="0" x="204"/>
        <item sd="0" x="165"/>
        <item sd="0" x="440"/>
        <item sd="0" x="325"/>
        <item sd="0" x="400"/>
        <item sd="0" x="360"/>
        <item sd="0" x="189"/>
        <item sd="0" x="76"/>
        <item sd="0" x="181"/>
        <item sd="0" x="361"/>
        <item sd="0" x="52"/>
        <item sd="0" x="45"/>
        <item sd="0" x="449"/>
        <item sd="0" x="362"/>
        <item sd="0" x="93"/>
        <item sd="0" x="268"/>
        <item sd="0" x="266"/>
        <item sd="0" x="444"/>
        <item sd="0" x="455"/>
        <item sd="0" x="330"/>
        <item sd="0" x="67"/>
        <item sd="0" x="162"/>
        <item sd="0" x="79"/>
        <item sd="0" x="334"/>
        <item sd="0" x="61"/>
        <item sd="0" x="27"/>
        <item sd="0" x="348"/>
        <item sd="0" x="506"/>
        <item sd="0" x="355"/>
        <item sd="0" x="376"/>
        <item sd="0" x="461"/>
        <item sd="0" x="284"/>
        <item sd="0" x="343"/>
        <item sd="0" x="15"/>
        <item sd="0" x="523"/>
        <item sd="0" x="152"/>
        <item sd="0" x="21"/>
        <item sd="0" x="39"/>
        <item sd="0" x="197"/>
        <item sd="0" x="95"/>
        <item sd="0" x="182"/>
        <item sd="0" x="177"/>
        <item sd="0" x="24"/>
        <item sd="0" x="328"/>
        <item sd="0" x="470"/>
        <item sd="0" x="471"/>
        <item sd="0" x="214"/>
        <item sd="0" x="198"/>
        <item sd="0" x="156"/>
        <item sd="0" x="11"/>
        <item sd="0" x="78"/>
        <item sd="0" x="338"/>
        <item sd="0" x="503"/>
        <item sd="0" x="389"/>
        <item sd="0" x="439"/>
        <item sd="0" x="1"/>
        <item sd="0" x="63"/>
        <item sd="0" x="520"/>
        <item sd="0" x="518"/>
        <item sd="0" x="525"/>
        <item sd="0" x="275"/>
        <item sd="0" x="34"/>
        <item sd="0" x="169"/>
        <item sd="0" x="399"/>
        <item sd="0" x="452"/>
        <item sd="0" x="402"/>
        <item sd="0" x="447"/>
        <item sd="0" x="253"/>
        <item sd="0" x="244"/>
        <item sd="0" x="138"/>
        <item sd="0" x="261"/>
        <item sd="0" x="199"/>
        <item sd="0" x="70"/>
        <item sd="0" x="125"/>
        <item sd="0" x="306"/>
        <item sd="0" x="51"/>
        <item sd="0" x="65"/>
        <item sd="0" x="28"/>
        <item sd="0" x="128"/>
        <item sd="0" x="309"/>
        <item sd="0" x="388"/>
        <item sd="0" x="205"/>
        <item sd="0" x="92"/>
        <item sd="0" x="421"/>
        <item sd="0" x="329"/>
        <item sd="0" x="239"/>
        <item sd="0" x="213"/>
        <item sd="0" x="86"/>
        <item sd="0" x="262"/>
        <item sd="0" x="288"/>
        <item sd="0" x="531"/>
        <item sd="0" x="210"/>
        <item sd="0" x="58"/>
        <item sd="0" x="497"/>
        <item sd="0" x="83"/>
        <item sd="0" x="57"/>
        <item sd="0" x="392"/>
        <item sd="0" x="80"/>
        <item sd="0" x="409"/>
        <item sd="0" x="55"/>
        <item sd="0" x="346"/>
        <item sd="0" x="97"/>
        <item sd="0" x="160"/>
        <item sd="0" x="112"/>
        <item sd="0" x="281"/>
        <item sd="0" x="451"/>
        <item sd="0" x="351"/>
        <item sd="0" x="358"/>
        <item sd="0" x="119"/>
        <item sd="0" x="237"/>
        <item sd="0" x="408"/>
        <item sd="0" x="319"/>
        <item sd="0" x="32"/>
        <item sd="0" x="136"/>
        <item sd="0" x="509"/>
        <item sd="0" x="379"/>
        <item sd="0" x="19"/>
        <item sd="0" x="176"/>
        <item sd="0" x="183"/>
        <item sd="0" x="36"/>
        <item sd="0" x="414"/>
        <item sd="0" x="517"/>
        <item sd="0" x="437"/>
        <item sd="0" x="219"/>
        <item sd="0" x="528"/>
        <item sd="0" x="254"/>
        <item sd="0" x="153"/>
        <item sd="0" x="106"/>
        <item sd="0" x="163"/>
        <item sd="0" x="380"/>
        <item sd="0" x="155"/>
        <item sd="0" x="332"/>
        <item sd="0" x="257"/>
        <item sd="0" x="185"/>
        <item sd="0" x="416"/>
        <item sd="0" x="393"/>
        <item sd="0" x="312"/>
        <item sd="0" x="124"/>
        <item sd="0" x="72"/>
        <item sd="0" x="490"/>
        <item sd="0" x="286"/>
        <item sd="0" x="331"/>
        <item sd="0" x="350"/>
        <item sd="0" x="271"/>
        <item sd="0" x="132"/>
        <item sd="0" x="252"/>
        <item sd="0" x="208"/>
        <item sd="0" x="227"/>
        <item sd="0" x="434"/>
        <item sd="0" x="365"/>
        <item sd="0" x="300"/>
        <item sd="0" x="406"/>
        <item sd="0" x="131"/>
        <item sd="0" x="280"/>
        <item sd="0" x="220"/>
        <item sd="0" x="194"/>
        <item sd="0" x="94"/>
        <item sd="0" x="465"/>
        <item sd="0" x="230"/>
        <item sd="0" x="151"/>
        <item sd="0" x="397"/>
        <item sd="0" x="9"/>
        <item sd="0" x="526"/>
        <item sd="0" x="532"/>
        <item sd="0" x="35"/>
        <item sd="0" x="454"/>
        <item sd="0" x="240"/>
        <item sd="0" x="150"/>
        <item sd="0" x="326"/>
        <item sd="0" x="473"/>
        <item sd="0" x="250"/>
        <item sd="0" x="247"/>
        <item sd="0" x="164"/>
        <item sd="0" x="529"/>
        <item sd="0" x="410"/>
        <item sd="0" x="82"/>
        <item sd="0" x="448"/>
        <item sd="0" x="121"/>
        <item sd="0" x="438"/>
        <item sd="0" x="71"/>
        <item sd="0" x="134"/>
        <item sd="0" x="41"/>
        <item sd="0" x="269"/>
        <item sd="0" x="344"/>
        <item sd="0" x="371"/>
        <item sd="0" x="108"/>
        <item sd="0" x="363"/>
        <item sd="0" x="103"/>
        <item sd="0" x="149"/>
        <item sd="0" x="514"/>
        <item sd="0" x="209"/>
        <item sd="0" x="441"/>
        <item sd="0" x="404"/>
        <item sd="0" x="221"/>
        <item sd="0" x="48"/>
        <item sd="0" x="479"/>
        <item sd="0" x="394"/>
        <item sd="0" x="318"/>
        <item sd="0" x="142"/>
        <item sd="0" x="245"/>
        <item sd="0" x="232"/>
        <item sd="0" x="295"/>
        <item sd="0" x="494"/>
        <item sd="0" x="359"/>
        <item sd="0" x="225"/>
        <item sd="0" x="157"/>
        <item sd="0" x="116"/>
        <item sd="0" x="270"/>
        <item sd="0" x="486"/>
        <item sd="0" x="476"/>
        <item sd="0" x="264"/>
        <item sd="0" x="298"/>
        <item sd="0" x="60"/>
        <item sd="0" x="378"/>
        <item sd="0" x="33"/>
        <item sd="0" x="482"/>
        <item sd="0" x="382"/>
        <item sd="0" x="367"/>
        <item sd="0" x="168"/>
        <item sd="0" x="20"/>
        <item sd="0" x="443"/>
        <item sd="0" x="427"/>
        <item sd="0" x="412"/>
        <item sd="0" x="159"/>
        <item sd="0" x="420"/>
        <item sd="0" x="477"/>
        <item sd="0" x="211"/>
        <item sd="0" x="499"/>
        <item sd="0" x="436"/>
        <item sd="0" x="46"/>
        <item sd="0" x="10"/>
        <item sd="0" x="502"/>
        <item sd="0" x="69"/>
        <item sd="0" x="311"/>
        <item sd="0" x="285"/>
        <item sd="0" x="259"/>
        <item sd="0" x="483"/>
        <item sd="0" x="357"/>
        <item sd="0" x="508"/>
        <item sd="0" x="190"/>
        <item sd="0" x="40"/>
        <item sd="0" x="308"/>
        <item sd="0" x="374"/>
        <item sd="0" x="212"/>
        <item sd="0" x="353"/>
        <item sd="0" x="442"/>
        <item sd="0" x="62"/>
        <item sd="0" x="464"/>
        <item sd="0" x="524"/>
        <item sd="0" x="77"/>
        <item sd="0" x="191"/>
        <item sd="0" x="513"/>
        <item sd="0" x="467"/>
        <item sd="0" x="279"/>
        <item sd="0" x="174"/>
        <item sd="0" x="206"/>
        <item sd="0" x="263"/>
        <item sd="0" x="491"/>
        <item sd="0" x="223"/>
        <item sd="0" x="287"/>
        <item sd="0" x="14"/>
        <item sd="0" x="341"/>
        <item sd="0" x="320"/>
        <item sd="0" x="425"/>
        <item sd="0" x="527"/>
        <item sd="0" x="216"/>
        <item sd="0" x="515"/>
        <item sd="0" x="180"/>
        <item sd="0" x="66"/>
        <item sd="0" x="335"/>
        <item sd="0" x="310"/>
        <item sd="0" x="458"/>
        <item sd="0" x="242"/>
        <item t="default" sd="0"/>
      </items>
    </pivotField>
    <pivotField axis="axisRow"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defaultSubtotal="0">
      <items count="6">
        <item x="0"/>
        <item x="1"/>
        <item x="2"/>
        <item x="5"/>
        <item x="4"/>
        <item x="3"/>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items count="4">
        <item x="0"/>
        <item x="2"/>
        <item x="1"/>
        <item t="default"/>
      </items>
    </pivotField>
    <pivotField numFmtId="164" showAll="0"/>
    <pivotField showAll="0" sortType="ascending">
      <items count="6">
        <item x="2"/>
        <item x="3"/>
        <item x="0"/>
        <item x="1"/>
        <item x="4"/>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8">
    <field x="16"/>
    <field x="15"/>
    <field x="14"/>
    <field x="4"/>
    <field x="19"/>
    <field x="18"/>
    <field x="17"/>
    <field x="5"/>
  </rowFields>
  <rowItems count="3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rowItems>
  <colItems count="1">
    <i/>
  </colItems>
  <dataFields count="1">
    <dataField name="No. of Patients" fld="0" subtotal="count" baseField="16" baseItem="1"/>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9E5F4-3200-4095-89F6-4C057D0FA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dataField="1" numFmtId="9"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nsurance Coverage"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45532-6BF7-406A-8615-3F4884739BE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Gender">
  <location ref="A15:B17"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3">
        <item x="1"/>
        <item x="0"/>
        <item t="default"/>
      </items>
    </pivotField>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defaultSubtotal="0">
      <items count="6">
        <item x="0"/>
        <item x="1"/>
        <item x="2"/>
        <item x="5"/>
        <item x="4"/>
        <item x="3"/>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items count="4">
        <item x="0"/>
        <item x="2"/>
        <item x="1"/>
        <item t="default"/>
      </items>
    </pivotField>
    <pivotField numFmtId="164" showAll="0"/>
    <pivotField showAll="0" sortType="ascending">
      <items count="6">
        <item x="2"/>
        <item x="3"/>
        <item x="0"/>
        <item x="1"/>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i>
    <i>
      <x v="1"/>
    </i>
  </rowItems>
  <colItems count="1">
    <i/>
  </colItems>
  <dataFields count="1">
    <dataField name="Perc." fld="0" subtotal="count" showDataAs="percentOfTotal" baseField="0" baseItem="0" numFmtId="9"/>
  </dataFields>
  <chartFormats count="3">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3" count="1" selected="0">
            <x v="0"/>
          </reference>
        </references>
      </pivotArea>
    </chartFormat>
    <chartFormat chart="24"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175E07-4015-4E9D-A386-9F3139C3F9A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H4" firstHeaderRow="1" firstDataRow="1" firstDataCol="0"/>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mount Paid" fld="12"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254961-F3E7-456A-A9D7-0167285F11C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Department">
  <location ref="A7:B13"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axis="axisRow" showAll="0" sortType="descending" defaultSubtotal="0">
      <items count="6">
        <item x="3"/>
        <item x="4"/>
        <item x="5"/>
        <item x="2"/>
        <item x="1"/>
        <item x="0"/>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x v="5"/>
    </i>
  </rowItems>
  <colItems count="1">
    <i/>
  </colItems>
  <dataFields count="1">
    <dataField name="No. of Patients" fld="0" subtotal="count" baseField="7" baseItem="0"/>
  </dataFields>
  <chartFormats count="7">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1" format="4">
      <pivotArea type="data" outline="0" fieldPosition="0">
        <references count="2">
          <reference field="4294967294" count="1" selected="0">
            <x v="0"/>
          </reference>
          <reference field="7" count="1" selected="0">
            <x v="4"/>
          </reference>
        </references>
      </pivotArea>
    </chartFormat>
    <chartFormat chart="11" format="5">
      <pivotArea type="data" outline="0" fieldPosition="0">
        <references count="2">
          <reference field="4294967294" count="1" selected="0">
            <x v="0"/>
          </reference>
          <reference field="7" count="1" selected="0">
            <x v="2"/>
          </reference>
        </references>
      </pivotArea>
    </chartFormat>
    <chartFormat chart="11" format="6">
      <pivotArea type="data" outline="0" fieldPosition="0">
        <references count="2">
          <reference field="4294967294" count="1" selected="0">
            <x v="0"/>
          </reference>
          <reference field="7" count="1" selected="0">
            <x v="3"/>
          </reference>
        </references>
      </pivotArea>
    </chartFormat>
    <chartFormat chart="11"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CB3F6E-EEA3-43C7-B0B8-13E487C24BE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Payment Status">
  <location ref="H7:I10" firstHeaderRow="1" firstDataRow="1" firstDataCol="1"/>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showAll="0"/>
    <pivotField showAll="0" defaultSubtotal="0">
      <items count="6">
        <item x="0"/>
        <item x="1"/>
        <item x="2"/>
        <item x="5"/>
        <item x="4"/>
        <item x="3"/>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axis="axisRow" showAll="0" sortType="descending">
      <items count="4">
        <item x="1"/>
        <item x="2"/>
        <item x="0"/>
        <item t="default"/>
      </items>
    </pivotField>
    <pivotField numFmtId="164" showAll="0"/>
    <pivotField showAll="0" sortType="ascending">
      <items count="6">
        <item x="2"/>
        <item x="3"/>
        <item x="0"/>
        <item x="1"/>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3">
    <i>
      <x/>
    </i>
    <i>
      <x v="1"/>
    </i>
    <i>
      <x v="2"/>
    </i>
  </rowItems>
  <colItems count="1">
    <i/>
  </colItems>
  <dataFields count="1">
    <dataField name="Perc. of Amt" fld="9" showDataAs="percentOfTotal" baseField="0" baseItem="0" numFmtId="9"/>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1A1EEF-6C58-4782-9312-7E423FFE6A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items count="553">
        <item x="312"/>
        <item x="305"/>
        <item x="130"/>
        <item x="526"/>
        <item x="106"/>
        <item x="475"/>
        <item x="311"/>
        <item x="326"/>
        <item x="159"/>
        <item x="316"/>
        <item x="214"/>
        <item x="461"/>
        <item x="340"/>
        <item x="351"/>
        <item x="390"/>
        <item x="309"/>
        <item x="400"/>
        <item x="474"/>
        <item x="332"/>
        <item x="388"/>
        <item x="148"/>
        <item x="290"/>
        <item x="80"/>
        <item x="384"/>
        <item x="519"/>
        <item x="6"/>
        <item x="330"/>
        <item x="487"/>
        <item x="58"/>
        <item x="407"/>
        <item x="365"/>
        <item x="156"/>
        <item x="315"/>
        <item x="259"/>
        <item x="485"/>
        <item x="236"/>
        <item x="335"/>
        <item x="7"/>
        <item x="483"/>
        <item x="503"/>
        <item x="97"/>
        <item x="551"/>
        <item x="352"/>
        <item x="228"/>
        <item x="119"/>
        <item x="177"/>
        <item x="167"/>
        <item x="358"/>
        <item x="377"/>
        <item x="506"/>
        <item x="317"/>
        <item x="444"/>
        <item x="222"/>
        <item x="405"/>
        <item x="471"/>
        <item x="31"/>
        <item x="322"/>
        <item x="23"/>
        <item x="109"/>
        <item x="56"/>
        <item x="329"/>
        <item x="238"/>
        <item x="133"/>
        <item x="496"/>
        <item x="343"/>
        <item x="2"/>
        <item x="101"/>
        <item x="117"/>
        <item x="403"/>
        <item x="533"/>
        <item x="246"/>
        <item x="346"/>
        <item x="115"/>
        <item x="96"/>
        <item x="138"/>
        <item x="103"/>
        <item x="318"/>
        <item x="63"/>
        <item x="218"/>
        <item x="460"/>
        <item x="266"/>
        <item x="456"/>
        <item x="81"/>
        <item x="72"/>
        <item x="532"/>
        <item x="514"/>
        <item x="147"/>
        <item x="387"/>
        <item x="196"/>
        <item x="107"/>
        <item x="512"/>
        <item x="338"/>
        <item x="511"/>
        <item x="262"/>
        <item x="268"/>
        <item x="350"/>
        <item x="427"/>
        <item x="59"/>
        <item x="45"/>
        <item x="353"/>
        <item x="281"/>
        <item x="17"/>
        <item x="349"/>
        <item x="124"/>
        <item x="239"/>
        <item x="68"/>
        <item x="385"/>
        <item x="26"/>
        <item x="373"/>
        <item x="257"/>
        <item x="499"/>
        <item x="286"/>
        <item x="457"/>
        <item x="200"/>
        <item x="408"/>
        <item x="336"/>
        <item x="528"/>
        <item x="110"/>
        <item x="125"/>
        <item x="520"/>
        <item x="25"/>
        <item x="207"/>
        <item x="30"/>
        <item x="128"/>
        <item x="192"/>
        <item x="206"/>
        <item x="380"/>
        <item x="378"/>
        <item x="146"/>
        <item x="450"/>
        <item x="141"/>
        <item x="212"/>
        <item x="397"/>
        <item x="348"/>
        <item x="50"/>
        <item x="468"/>
        <item x="112"/>
        <item x="237"/>
        <item x="79"/>
        <item x="44"/>
        <item x="538"/>
        <item x="517"/>
        <item x="376"/>
        <item x="0"/>
        <item x="176"/>
        <item x="264"/>
        <item x="88"/>
        <item x="516"/>
        <item x="5"/>
        <item x="12"/>
        <item x="413"/>
        <item x="140"/>
        <item x="282"/>
        <item x="240"/>
        <item x="301"/>
        <item x="184"/>
        <item x="188"/>
        <item x="426"/>
        <item x="199"/>
        <item x="116"/>
        <item x="534"/>
        <item x="144"/>
        <item x="357"/>
        <item x="254"/>
        <item x="459"/>
        <item x="492"/>
        <item x="13"/>
        <item x="191"/>
        <item x="328"/>
        <item x="82"/>
        <item x="16"/>
        <item x="89"/>
        <item x="152"/>
        <item x="393"/>
        <item x="113"/>
        <item x="302"/>
        <item x="423"/>
        <item x="470"/>
        <item x="482"/>
        <item x="341"/>
        <item x="504"/>
        <item x="493"/>
        <item x="187"/>
        <item x="324"/>
        <item x="139"/>
        <item x="143"/>
        <item x="48"/>
        <item x="507"/>
        <item x="163"/>
        <item x="252"/>
        <item x="171"/>
        <item x="197"/>
        <item x="391"/>
        <item x="466"/>
        <item x="464"/>
        <item x="401"/>
        <item x="242"/>
        <item x="473"/>
        <item x="256"/>
        <item x="327"/>
        <item x="29"/>
        <item x="549"/>
        <item x="287"/>
        <item x="500"/>
        <item x="508"/>
        <item x="51"/>
        <item x="104"/>
        <item x="205"/>
        <item x="277"/>
        <item x="195"/>
        <item x="314"/>
        <item x="3"/>
        <item x="529"/>
        <item x="91"/>
        <item x="123"/>
        <item x="300"/>
        <item x="494"/>
        <item x="169"/>
        <item x="122"/>
        <item x="92"/>
        <item x="71"/>
        <item x="535"/>
        <item x="299"/>
        <item x="360"/>
        <item x="537"/>
        <item x="491"/>
        <item x="415"/>
        <item x="291"/>
        <item x="114"/>
        <item x="201"/>
        <item x="60"/>
        <item x="419"/>
        <item x="8"/>
        <item x="22"/>
        <item x="95"/>
        <item x="425"/>
        <item x="399"/>
        <item x="497"/>
        <item x="55"/>
        <item x="250"/>
        <item x="404"/>
        <item x="230"/>
        <item x="541"/>
        <item x="4"/>
        <item x="178"/>
        <item x="411"/>
        <item x="120"/>
        <item x="105"/>
        <item x="527"/>
        <item x="173"/>
        <item x="446"/>
        <item x="37"/>
        <item x="225"/>
        <item x="310"/>
        <item x="510"/>
        <item x="43"/>
        <item x="430"/>
        <item x="164"/>
        <item x="168"/>
        <item x="409"/>
        <item x="442"/>
        <item x="445"/>
        <item x="94"/>
        <item x="39"/>
        <item x="209"/>
        <item x="233"/>
        <item x="18"/>
        <item x="432"/>
        <item x="465"/>
        <item x="402"/>
        <item x="364"/>
        <item x="297"/>
        <item x="542"/>
        <item x="437"/>
        <item x="515"/>
        <item x="180"/>
        <item x="46"/>
        <item x="449"/>
        <item x="83"/>
        <item x="189"/>
        <item x="462"/>
        <item x="54"/>
        <item x="303"/>
        <item x="99"/>
        <item x="275"/>
        <item x="501"/>
        <item x="273"/>
        <item x="339"/>
        <item x="441"/>
        <item x="458"/>
        <item x="344"/>
        <item x="371"/>
        <item x="355"/>
        <item x="217"/>
        <item x="453"/>
        <item x="27"/>
        <item x="86"/>
        <item x="65"/>
        <item x="160"/>
        <item x="370"/>
        <item x="292"/>
        <item x="151"/>
        <item x="15"/>
        <item x="21"/>
        <item x="203"/>
        <item x="478"/>
        <item x="539"/>
        <item x="40"/>
        <item x="285"/>
        <item x="24"/>
        <item x="182"/>
        <item x="175"/>
        <item x="224"/>
        <item x="416"/>
        <item x="232"/>
        <item x="204"/>
        <item x="216"/>
        <item x="154"/>
        <item x="523"/>
        <item x="424"/>
        <item x="509"/>
        <item x="11"/>
        <item x="84"/>
        <item x="389"/>
        <item x="185"/>
        <item x="296"/>
        <item x="67"/>
        <item x="505"/>
        <item x="463"/>
        <item x="530"/>
        <item x="1"/>
        <item x="165"/>
        <item x="34"/>
        <item x="447"/>
        <item x="260"/>
        <item x="454"/>
        <item x="524"/>
        <item x="249"/>
        <item x="469"/>
        <item x="269"/>
        <item x="325"/>
        <item x="127"/>
        <item x="69"/>
        <item x="181"/>
        <item x="75"/>
        <item x="53"/>
        <item x="129"/>
        <item x="28"/>
        <item x="98"/>
        <item x="481"/>
        <item x="307"/>
        <item x="243"/>
        <item x="270"/>
        <item x="421"/>
        <item x="93"/>
        <item x="368"/>
        <item x="267"/>
        <item x="213"/>
        <item x="298"/>
        <item x="62"/>
        <item x="361"/>
        <item x="61"/>
        <item x="354"/>
        <item x="135"/>
        <item x="274"/>
        <item x="202"/>
        <item x="102"/>
        <item x="87"/>
        <item x="440"/>
        <item x="410"/>
        <item x="158"/>
        <item x="379"/>
        <item x="289"/>
        <item x="381"/>
        <item x="57"/>
        <item x="241"/>
        <item x="513"/>
        <item x="366"/>
        <item x="32"/>
        <item x="137"/>
        <item x="283"/>
        <item x="121"/>
        <item x="170"/>
        <item x="174"/>
        <item x="486"/>
        <item x="183"/>
        <item x="477"/>
        <item x="414"/>
        <item x="518"/>
        <item x="434"/>
        <item x="36"/>
        <item x="19"/>
        <item x="219"/>
        <item x="550"/>
        <item x="261"/>
        <item x="111"/>
        <item x="545"/>
        <item x="161"/>
        <item x="479"/>
        <item x="342"/>
        <item x="392"/>
        <item x="476"/>
        <item x="153"/>
        <item x="263"/>
        <item x="383"/>
        <item x="186"/>
        <item x="382"/>
        <item x="395"/>
        <item x="323"/>
        <item x="548"/>
        <item x="319"/>
        <item x="126"/>
        <item x="132"/>
        <item x="258"/>
        <item x="394"/>
        <item x="356"/>
        <item x="210"/>
        <item x="280"/>
        <item x="294"/>
        <item x="78"/>
        <item x="136"/>
        <item x="433"/>
        <item x="418"/>
        <item x="313"/>
        <item x="229"/>
        <item x="498"/>
        <item x="198"/>
        <item x="100"/>
        <item x="220"/>
        <item x="386"/>
        <item x="431"/>
        <item x="131"/>
        <item x="231"/>
        <item x="9"/>
        <item x="85"/>
        <item x="398"/>
        <item x="540"/>
        <item x="35"/>
        <item x="245"/>
        <item x="150"/>
        <item x="525"/>
        <item x="255"/>
        <item x="337"/>
        <item x="251"/>
        <item x="484"/>
        <item x="369"/>
        <item x="546"/>
        <item x="422"/>
        <item x="162"/>
        <item x="452"/>
        <item x="448"/>
        <item x="451"/>
        <item x="90"/>
        <item x="435"/>
        <item x="543"/>
        <item x="531"/>
        <item x="77"/>
        <item x="134"/>
        <item x="42"/>
        <item x="244"/>
        <item x="52"/>
        <item x="372"/>
        <item x="276"/>
        <item x="108"/>
        <item x="472"/>
        <item x="443"/>
        <item x="248"/>
        <item x="211"/>
        <item x="417"/>
        <item x="406"/>
        <item x="149"/>
        <item x="226"/>
        <item x="490"/>
        <item x="221"/>
        <item x="396"/>
        <item x="49"/>
        <item x="235"/>
        <item x="333"/>
        <item x="429"/>
        <item x="363"/>
        <item x="142"/>
        <item x="227"/>
        <item x="118"/>
        <item x="272"/>
        <item x="488"/>
        <item x="278"/>
        <item x="306"/>
        <item x="33"/>
        <item x="155"/>
        <item x="375"/>
        <item x="495"/>
        <item x="64"/>
        <item x="436"/>
        <item x="38"/>
        <item x="428"/>
        <item x="367"/>
        <item x="20"/>
        <item x="489"/>
        <item x="420"/>
        <item x="412"/>
        <item x="331"/>
        <item x="157"/>
        <item x="10"/>
        <item x="253"/>
        <item x="345"/>
        <item x="536"/>
        <item x="374"/>
        <item x="455"/>
        <item x="47"/>
        <item x="74"/>
        <item x="321"/>
        <item x="293"/>
        <item x="320"/>
        <item x="265"/>
        <item x="41"/>
        <item x="362"/>
        <item x="166"/>
        <item x="279"/>
        <item x="215"/>
        <item x="190"/>
        <item x="73"/>
        <item x="66"/>
        <item x="76"/>
        <item x="521"/>
        <item x="234"/>
        <item x="284"/>
        <item x="547"/>
        <item x="439"/>
        <item x="359"/>
        <item x="288"/>
        <item x="467"/>
        <item x="193"/>
        <item x="208"/>
        <item x="271"/>
        <item x="172"/>
        <item x="295"/>
        <item x="438"/>
        <item x="502"/>
        <item x="334"/>
        <item x="223"/>
        <item x="544"/>
        <item x="14"/>
        <item x="308"/>
        <item x="480"/>
        <item x="304"/>
        <item x="347"/>
        <item x="194"/>
        <item x="70"/>
        <item x="522"/>
        <item x="145"/>
        <item x="247"/>
        <item x="179"/>
        <item t="default"/>
      </items>
    </pivotField>
    <pivotField dataFiel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Length of Stay" fld="6" subtotal="average"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11FF86-F435-4846-B52C-9AE6BD3F2A77}" sourceName="Department">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3087475">
      <items count="6">
        <i x="0" s="1"/>
        <i x="1"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5FBFB1E2-1B9D-4170-9829-8B958A08D13D}" sourceName="Diagnosis">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3087475">
      <items count="38">
        <i x="2" s="1"/>
        <i x="14" s="1"/>
        <i x="32" s="1"/>
        <i x="25" s="1"/>
        <i x="8" s="1"/>
        <i x="1" s="1"/>
        <i x="6" s="1"/>
        <i x="22" s="1"/>
        <i x="0" s="1"/>
        <i x="37" s="1"/>
        <i x="15" s="1"/>
        <i x="18" s="1"/>
        <i x="36" s="1"/>
        <i x="3" s="1"/>
        <i x="29" s="1"/>
        <i x="10" s="1"/>
        <i x="5" s="1"/>
        <i x="24" s="1"/>
        <i x="34" s="1"/>
        <i x="4" s="1"/>
        <i x="31" s="1"/>
        <i x="16" s="1"/>
        <i x="19" s="1"/>
        <i x="26" s="1"/>
        <i x="20" s="1"/>
        <i x="13" s="1"/>
        <i x="35" s="1"/>
        <i x="17" s="1"/>
        <i x="12" s="1"/>
        <i x="28" s="1"/>
        <i x="21" s="1"/>
        <i x="11" s="1"/>
        <i x="9" s="1"/>
        <i x="7" s="1"/>
        <i x="27" s="1"/>
        <i x="30" s="1"/>
        <i x="23" s="1"/>
        <i x="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80BB0A95-CC5E-43ED-ADDA-79BE59633CC2}" sourceName="Years (Admission Date)">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123087475">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AFF33AD-B437-40E3-870E-F8C1A00EAF09}" cache="Slicer_Department" caption="Department" columnCount="3" style="SlicerStyleDark6" rowHeight="393192"/>
  <slicer name="Diagnosis" xr10:uid="{7831F276-913E-4BC2-9B88-829B89CF523A}" cache="Slicer_Diagnosis" caption="Diagnosis" columnCount="3" style="SlicerStyleDark6" rowHeight="393192"/>
  <slicer name="Years (Admission Date)" xr10:uid="{97862EB8-87D9-4948-85D3-9FF909DAF0A9}" cache="Slicer_Years__Admission_Date" caption="Years (Admission Date)" columnCount="2" style="SlicerStyleDark6" rowHeight="38404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O1001"/>
  <sheetViews>
    <sheetView topLeftCell="C1" workbookViewId="0">
      <pane ySplit="1" topLeftCell="A2" activePane="bottomLeft" state="frozen"/>
      <selection pane="bottomLeft" activeCell="C1005" sqref="C1005"/>
    </sheetView>
  </sheetViews>
  <sheetFormatPr defaultRowHeight="14.5" x14ac:dyDescent="0.35"/>
  <cols>
    <col min="1" max="1" width="12.90625" customWidth="1"/>
    <col min="2" max="2" width="23.36328125" customWidth="1"/>
    <col min="3" max="3" width="10.453125" customWidth="1"/>
    <col min="4" max="4" width="11.81640625" customWidth="1"/>
    <col min="5" max="5" width="17.1796875" style="5" customWidth="1"/>
    <col min="6" max="6" width="18.36328125" style="5" customWidth="1"/>
    <col min="7" max="7" width="18.36328125" customWidth="1"/>
    <col min="8" max="8" width="16.36328125" customWidth="1"/>
    <col min="9" max="9" width="20.453125" bestFit="1" customWidth="1"/>
    <col min="10" max="10" width="17" customWidth="1"/>
    <col min="11" max="11" width="19.36328125" style="6" bestFit="1" customWidth="1"/>
    <col min="12" max="12" width="14" bestFit="1" customWidth="1"/>
    <col min="13" max="13" width="14.36328125" customWidth="1"/>
    <col min="14" max="14" width="18.54296875" style="9" customWidth="1"/>
    <col min="15" max="15" width="19.36328125" customWidth="1"/>
  </cols>
  <sheetData>
    <row r="1" spans="1:15" x14ac:dyDescent="0.35">
      <c r="A1" s="1" t="s">
        <v>0</v>
      </c>
      <c r="B1" s="1" t="s">
        <v>1</v>
      </c>
      <c r="C1" s="1" t="s">
        <v>2</v>
      </c>
      <c r="D1" s="1" t="s">
        <v>3</v>
      </c>
      <c r="E1" s="4" t="s">
        <v>4</v>
      </c>
      <c r="F1" s="4" t="s">
        <v>5</v>
      </c>
      <c r="G1" s="1" t="s">
        <v>1744</v>
      </c>
      <c r="H1" s="1" t="s">
        <v>6</v>
      </c>
      <c r="I1" s="1" t="s">
        <v>7</v>
      </c>
      <c r="J1" s="1" t="s">
        <v>8</v>
      </c>
      <c r="K1" s="7" t="s">
        <v>1745</v>
      </c>
      <c r="L1" s="1" t="s">
        <v>9</v>
      </c>
      <c r="M1" s="1" t="s">
        <v>1743</v>
      </c>
      <c r="N1" s="8" t="s">
        <v>1751</v>
      </c>
    </row>
    <row r="2" spans="1:15" x14ac:dyDescent="0.35">
      <c r="A2" t="s">
        <v>10</v>
      </c>
      <c r="B2" t="s">
        <v>11</v>
      </c>
      <c r="C2">
        <v>57</v>
      </c>
      <c r="D2" t="s">
        <v>12</v>
      </c>
      <c r="E2" s="5">
        <v>45488</v>
      </c>
      <c r="F2" s="5">
        <v>45496</v>
      </c>
      <c r="G2">
        <f>DATEDIF(E2,F2,"D")</f>
        <v>8</v>
      </c>
      <c r="H2" t="s">
        <v>13</v>
      </c>
      <c r="I2" t="s">
        <v>14</v>
      </c>
      <c r="J2" s="2">
        <v>15359.41</v>
      </c>
      <c r="K2" s="6">
        <v>0.6</v>
      </c>
      <c r="L2" t="s">
        <v>15</v>
      </c>
      <c r="M2" s="3">
        <f>IF(L2 = "Paid",J2,0)</f>
        <v>15359.41</v>
      </c>
      <c r="N2" s="9" t="str" cm="1">
        <f t="array" ref="N2">_xlfn.IFS(C2&lt;18,"Under 18",C2&lt;36,"18-35",C2&lt;51,"36-50",C2&lt;66,"51-65",C2&gt;=66,"Above 65")</f>
        <v>51-65</v>
      </c>
      <c r="O2" s="6"/>
    </row>
    <row r="3" spans="1:15" x14ac:dyDescent="0.35">
      <c r="A3" t="s">
        <v>16</v>
      </c>
      <c r="B3" t="s">
        <v>17</v>
      </c>
      <c r="C3">
        <v>62</v>
      </c>
      <c r="D3" t="s">
        <v>18</v>
      </c>
      <c r="E3" s="5">
        <v>45729</v>
      </c>
      <c r="F3" s="5">
        <v>45739</v>
      </c>
      <c r="G3">
        <f t="shared" ref="G3:G66" si="0">DATEDIF(E3,F3,"D")</f>
        <v>10</v>
      </c>
      <c r="H3" t="s">
        <v>13</v>
      </c>
      <c r="I3" t="s">
        <v>19</v>
      </c>
      <c r="J3" s="2">
        <v>21896.6</v>
      </c>
      <c r="K3" s="6">
        <v>0.8</v>
      </c>
      <c r="L3" t="s">
        <v>20</v>
      </c>
      <c r="M3" s="3">
        <f t="shared" ref="M3:M66" si="1">IF(L3 = "Paid",J3,0)</f>
        <v>0</v>
      </c>
      <c r="N3" s="9" t="str" cm="1">
        <f t="array" ref="N3">_xlfn.IFS(C3&lt;18,"Under 18",C3&lt;36,"18-35",C3&lt;51,"36-50",C3&lt;66,"51-65",C3&gt;=66,"Above 65")</f>
        <v>51-65</v>
      </c>
      <c r="O3" s="6"/>
    </row>
    <row r="4" spans="1:15" x14ac:dyDescent="0.35">
      <c r="A4" t="s">
        <v>21</v>
      </c>
      <c r="B4" t="s">
        <v>22</v>
      </c>
      <c r="C4">
        <v>82</v>
      </c>
      <c r="D4" t="s">
        <v>18</v>
      </c>
      <c r="E4" s="5">
        <v>45387</v>
      </c>
      <c r="F4" s="5">
        <v>45390</v>
      </c>
      <c r="G4">
        <f t="shared" si="0"/>
        <v>3</v>
      </c>
      <c r="H4" t="s">
        <v>23</v>
      </c>
      <c r="I4" t="s">
        <v>24</v>
      </c>
      <c r="J4" s="2">
        <v>6404.86</v>
      </c>
      <c r="K4" s="6">
        <v>0</v>
      </c>
      <c r="L4" t="s">
        <v>25</v>
      </c>
      <c r="M4" s="3">
        <f t="shared" si="1"/>
        <v>0</v>
      </c>
      <c r="N4" s="9" t="str" cm="1">
        <f t="array" ref="N4">_xlfn.IFS(C4&lt;18,"Under 18",C4&lt;36,"18-35",C4&lt;51,"36-50",C4&lt;66,"51-65",C4&gt;=66,"Above 65")</f>
        <v>Above 65</v>
      </c>
      <c r="O4" s="6"/>
    </row>
    <row r="5" spans="1:15" x14ac:dyDescent="0.35">
      <c r="A5" t="s">
        <v>26</v>
      </c>
      <c r="B5" t="s">
        <v>27</v>
      </c>
      <c r="C5">
        <v>29</v>
      </c>
      <c r="D5" t="s">
        <v>18</v>
      </c>
      <c r="E5" s="5">
        <v>45588</v>
      </c>
      <c r="F5" s="5">
        <v>45589</v>
      </c>
      <c r="G5">
        <f t="shared" si="0"/>
        <v>1</v>
      </c>
      <c r="H5" t="s">
        <v>23</v>
      </c>
      <c r="I5" t="s">
        <v>28</v>
      </c>
      <c r="J5" s="2">
        <v>1001.68</v>
      </c>
      <c r="K5" s="6">
        <v>0.9</v>
      </c>
      <c r="L5" t="s">
        <v>20</v>
      </c>
      <c r="M5" s="3">
        <f t="shared" si="1"/>
        <v>0</v>
      </c>
      <c r="N5" s="9" t="str" cm="1">
        <f t="array" ref="N5">_xlfn.IFS(C5&lt;18,"Under 18",C5&lt;36,"18-35",C5&lt;51,"36-50",C5&lt;66,"51-65",C5&gt;=66,"Above 65")</f>
        <v>18-35</v>
      </c>
      <c r="O5" s="6"/>
    </row>
    <row r="6" spans="1:15" x14ac:dyDescent="0.35">
      <c r="A6" t="s">
        <v>29</v>
      </c>
      <c r="B6" t="s">
        <v>30</v>
      </c>
      <c r="C6">
        <v>65</v>
      </c>
      <c r="D6" t="s">
        <v>12</v>
      </c>
      <c r="E6" s="5">
        <v>45621</v>
      </c>
      <c r="F6" s="5">
        <v>45627</v>
      </c>
      <c r="G6">
        <f t="shared" si="0"/>
        <v>6</v>
      </c>
      <c r="H6" t="s">
        <v>31</v>
      </c>
      <c r="I6" t="s">
        <v>32</v>
      </c>
      <c r="J6" s="2">
        <v>4022.42</v>
      </c>
      <c r="K6" s="6">
        <v>0.8</v>
      </c>
      <c r="L6" t="s">
        <v>20</v>
      </c>
      <c r="M6" s="3">
        <f t="shared" si="1"/>
        <v>0</v>
      </c>
      <c r="N6" s="9" t="str" cm="1">
        <f t="array" ref="N6">_xlfn.IFS(C6&lt;18,"Under 18",C6&lt;36,"18-35",C6&lt;51,"36-50",C6&lt;66,"51-65",C6&gt;=66,"Above 65")</f>
        <v>51-65</v>
      </c>
      <c r="O6" s="6"/>
    </row>
    <row r="7" spans="1:15" x14ac:dyDescent="0.35">
      <c r="A7" t="s">
        <v>33</v>
      </c>
      <c r="B7" t="s">
        <v>34</v>
      </c>
      <c r="C7">
        <v>53</v>
      </c>
      <c r="D7" t="s">
        <v>12</v>
      </c>
      <c r="E7" s="5">
        <v>45494</v>
      </c>
      <c r="F7" s="5">
        <v>45501</v>
      </c>
      <c r="G7">
        <f t="shared" si="0"/>
        <v>7</v>
      </c>
      <c r="H7" t="s">
        <v>31</v>
      </c>
      <c r="I7" t="s">
        <v>35</v>
      </c>
      <c r="J7" s="2">
        <v>6621.96</v>
      </c>
      <c r="K7" s="6">
        <v>0.5</v>
      </c>
      <c r="L7" t="s">
        <v>25</v>
      </c>
      <c r="M7" s="3">
        <f t="shared" si="1"/>
        <v>0</v>
      </c>
      <c r="N7" s="9" t="str" cm="1">
        <f t="array" ref="N7">_xlfn.IFS(C7&lt;18,"Under 18",C7&lt;36,"18-35",C7&lt;51,"36-50",C7&lt;66,"51-65",C7&gt;=66,"Above 65")</f>
        <v>51-65</v>
      </c>
      <c r="O7" s="6"/>
    </row>
    <row r="8" spans="1:15" x14ac:dyDescent="0.35">
      <c r="A8" t="s">
        <v>36</v>
      </c>
      <c r="B8" t="s">
        <v>37</v>
      </c>
      <c r="C8">
        <v>46</v>
      </c>
      <c r="D8" t="s">
        <v>18</v>
      </c>
      <c r="E8" s="5">
        <v>45331</v>
      </c>
      <c r="F8" s="5">
        <v>45335</v>
      </c>
      <c r="G8">
        <f t="shared" si="0"/>
        <v>4</v>
      </c>
      <c r="H8" t="s">
        <v>13</v>
      </c>
      <c r="I8" t="s">
        <v>38</v>
      </c>
      <c r="J8" s="2">
        <v>7676.36</v>
      </c>
      <c r="K8" s="6">
        <v>0.7</v>
      </c>
      <c r="L8" t="s">
        <v>25</v>
      </c>
      <c r="M8" s="3">
        <f t="shared" si="1"/>
        <v>0</v>
      </c>
      <c r="N8" s="9" t="str" cm="1">
        <f t="array" ref="N8">_xlfn.IFS(C8&lt;18,"Under 18",C8&lt;36,"18-35",C8&lt;51,"36-50",C8&lt;66,"51-65",C8&gt;=66,"Above 65")</f>
        <v>36-50</v>
      </c>
      <c r="O8" s="6"/>
    </row>
    <row r="9" spans="1:15" x14ac:dyDescent="0.35">
      <c r="A9" t="s">
        <v>39</v>
      </c>
      <c r="B9" t="s">
        <v>40</v>
      </c>
      <c r="C9">
        <v>21</v>
      </c>
      <c r="D9" t="s">
        <v>18</v>
      </c>
      <c r="E9" s="5">
        <v>45346</v>
      </c>
      <c r="F9" s="5">
        <v>45349</v>
      </c>
      <c r="G9">
        <f t="shared" si="0"/>
        <v>3</v>
      </c>
      <c r="H9" t="s">
        <v>23</v>
      </c>
      <c r="I9" t="s">
        <v>41</v>
      </c>
      <c r="J9" s="2">
        <v>7381.69</v>
      </c>
      <c r="K9" s="6">
        <v>0.8</v>
      </c>
      <c r="L9" t="s">
        <v>20</v>
      </c>
      <c r="M9" s="3">
        <f t="shared" si="1"/>
        <v>0</v>
      </c>
      <c r="N9" s="9" t="str" cm="1">
        <f t="array" ref="N9">_xlfn.IFS(C9&lt;18,"Under 18",C9&lt;36,"18-35",C9&lt;51,"36-50",C9&lt;66,"51-65",C9&gt;=66,"Above 65")</f>
        <v>18-35</v>
      </c>
      <c r="O9" s="6"/>
    </row>
    <row r="10" spans="1:15" x14ac:dyDescent="0.35">
      <c r="A10" t="s">
        <v>42</v>
      </c>
      <c r="B10" t="s">
        <v>43</v>
      </c>
      <c r="C10">
        <v>62</v>
      </c>
      <c r="D10" t="s">
        <v>12</v>
      </c>
      <c r="E10" s="5">
        <v>45607</v>
      </c>
      <c r="F10" s="5">
        <v>45613</v>
      </c>
      <c r="G10">
        <f t="shared" si="0"/>
        <v>6</v>
      </c>
      <c r="H10" t="s">
        <v>31</v>
      </c>
      <c r="I10" t="s">
        <v>44</v>
      </c>
      <c r="J10" s="2">
        <v>5206.3999999999996</v>
      </c>
      <c r="K10" s="6">
        <v>0.8</v>
      </c>
      <c r="L10" t="s">
        <v>20</v>
      </c>
      <c r="M10" s="3">
        <f t="shared" si="1"/>
        <v>0</v>
      </c>
      <c r="N10" s="9" t="str" cm="1">
        <f t="array" ref="N10">_xlfn.IFS(C10&lt;18,"Under 18",C10&lt;36,"18-35",C10&lt;51,"36-50",C10&lt;66,"51-65",C10&gt;=66,"Above 65")</f>
        <v>51-65</v>
      </c>
      <c r="O10" s="6"/>
    </row>
    <row r="11" spans="1:15" x14ac:dyDescent="0.35">
      <c r="A11" t="s">
        <v>45</v>
      </c>
      <c r="B11" t="s">
        <v>46</v>
      </c>
      <c r="C11">
        <v>59</v>
      </c>
      <c r="D11" t="s">
        <v>12</v>
      </c>
      <c r="E11" s="5">
        <v>45874</v>
      </c>
      <c r="F11" s="5">
        <v>45875</v>
      </c>
      <c r="G11">
        <f t="shared" si="0"/>
        <v>1</v>
      </c>
      <c r="H11" t="s">
        <v>23</v>
      </c>
      <c r="I11" t="s">
        <v>41</v>
      </c>
      <c r="J11" s="2">
        <v>2498.98</v>
      </c>
      <c r="K11" s="6">
        <v>0.5</v>
      </c>
      <c r="L11" t="s">
        <v>20</v>
      </c>
      <c r="M11" s="3">
        <f t="shared" si="1"/>
        <v>0</v>
      </c>
      <c r="N11" s="9" t="str" cm="1">
        <f t="array" ref="N11">_xlfn.IFS(C11&lt;18,"Under 18",C11&lt;36,"18-35",C11&lt;51,"36-50",C11&lt;66,"51-65",C11&gt;=66,"Above 65")</f>
        <v>51-65</v>
      </c>
      <c r="O11" s="6"/>
    </row>
    <row r="12" spans="1:15" x14ac:dyDescent="0.35">
      <c r="A12" t="s">
        <v>47</v>
      </c>
      <c r="B12" t="s">
        <v>48</v>
      </c>
      <c r="C12">
        <v>7</v>
      </c>
      <c r="D12" t="s">
        <v>12</v>
      </c>
      <c r="E12" s="5">
        <v>45967</v>
      </c>
      <c r="F12" s="5">
        <v>45969</v>
      </c>
      <c r="G12">
        <f t="shared" si="0"/>
        <v>2</v>
      </c>
      <c r="H12" t="s">
        <v>49</v>
      </c>
      <c r="I12" t="s">
        <v>50</v>
      </c>
      <c r="J12" s="2">
        <v>2096.73</v>
      </c>
      <c r="K12" s="6">
        <v>0.7</v>
      </c>
      <c r="L12" t="s">
        <v>15</v>
      </c>
      <c r="M12" s="3">
        <f t="shared" si="1"/>
        <v>2096.73</v>
      </c>
      <c r="N12" s="9" t="str" cm="1">
        <f t="array" ref="N12">_xlfn.IFS(C12&lt;18,"Under 18",C12&lt;36,"18-35",C12&lt;51,"36-50",C12&lt;66,"51-65",C12&gt;=66,"Above 65")</f>
        <v>Under 18</v>
      </c>
      <c r="O12" s="6"/>
    </row>
    <row r="13" spans="1:15" x14ac:dyDescent="0.35">
      <c r="A13" t="s">
        <v>51</v>
      </c>
      <c r="B13" t="s">
        <v>52</v>
      </c>
      <c r="C13">
        <v>85</v>
      </c>
      <c r="D13" t="s">
        <v>18</v>
      </c>
      <c r="E13" s="5">
        <v>45719</v>
      </c>
      <c r="F13" s="5">
        <v>45724</v>
      </c>
      <c r="G13">
        <f t="shared" si="0"/>
        <v>5</v>
      </c>
      <c r="H13" t="s">
        <v>31</v>
      </c>
      <c r="I13" t="s">
        <v>53</v>
      </c>
      <c r="J13" s="2">
        <v>4619.6099999999997</v>
      </c>
      <c r="K13" s="6">
        <v>0.7</v>
      </c>
      <c r="L13" t="s">
        <v>20</v>
      </c>
      <c r="M13" s="3">
        <f t="shared" si="1"/>
        <v>0</v>
      </c>
      <c r="N13" s="9" t="str" cm="1">
        <f t="array" ref="N13">_xlfn.IFS(C13&lt;18,"Under 18",C13&lt;36,"18-35",C13&lt;51,"36-50",C13&lt;66,"51-65",C13&gt;=66,"Above 65")</f>
        <v>Above 65</v>
      </c>
      <c r="O13" s="6"/>
    </row>
    <row r="14" spans="1:15" x14ac:dyDescent="0.35">
      <c r="A14" t="s">
        <v>54</v>
      </c>
      <c r="B14" t="s">
        <v>55</v>
      </c>
      <c r="C14">
        <v>40</v>
      </c>
      <c r="D14" t="s">
        <v>12</v>
      </c>
      <c r="E14" s="5">
        <v>45500</v>
      </c>
      <c r="F14" s="5">
        <v>45502</v>
      </c>
      <c r="G14">
        <f t="shared" si="0"/>
        <v>2</v>
      </c>
      <c r="H14" t="s">
        <v>23</v>
      </c>
      <c r="I14" t="s">
        <v>24</v>
      </c>
      <c r="J14" s="2">
        <v>3367.87</v>
      </c>
      <c r="K14" s="6">
        <v>0.9</v>
      </c>
      <c r="L14" t="s">
        <v>15</v>
      </c>
      <c r="M14" s="3">
        <f t="shared" si="1"/>
        <v>3367.87</v>
      </c>
      <c r="N14" s="9" t="str" cm="1">
        <f t="array" ref="N14">_xlfn.IFS(C14&lt;18,"Under 18",C14&lt;36,"18-35",C14&lt;51,"36-50",C14&lt;66,"51-65",C14&gt;=66,"Above 65")</f>
        <v>36-50</v>
      </c>
      <c r="O14" s="6"/>
    </row>
    <row r="15" spans="1:15" x14ac:dyDescent="0.35">
      <c r="A15" t="s">
        <v>56</v>
      </c>
      <c r="B15" t="s">
        <v>57</v>
      </c>
      <c r="C15">
        <v>24</v>
      </c>
      <c r="D15" t="s">
        <v>12</v>
      </c>
      <c r="E15" s="5">
        <v>45524</v>
      </c>
      <c r="F15" s="5">
        <v>45526</v>
      </c>
      <c r="G15">
        <f t="shared" si="0"/>
        <v>2</v>
      </c>
      <c r="H15" t="s">
        <v>31</v>
      </c>
      <c r="I15" t="s">
        <v>35</v>
      </c>
      <c r="J15" s="2">
        <v>2287.25</v>
      </c>
      <c r="K15" s="6">
        <v>0.6</v>
      </c>
      <c r="L15" t="s">
        <v>15</v>
      </c>
      <c r="M15" s="3">
        <f t="shared" si="1"/>
        <v>2287.25</v>
      </c>
      <c r="N15" s="9" t="str" cm="1">
        <f t="array" ref="N15">_xlfn.IFS(C15&lt;18,"Under 18",C15&lt;36,"18-35",C15&lt;51,"36-50",C15&lt;66,"51-65",C15&gt;=66,"Above 65")</f>
        <v>18-35</v>
      </c>
      <c r="O15" s="6"/>
    </row>
    <row r="16" spans="1:15" x14ac:dyDescent="0.35">
      <c r="A16" t="s">
        <v>58</v>
      </c>
      <c r="B16" t="s">
        <v>59</v>
      </c>
      <c r="C16">
        <v>67</v>
      </c>
      <c r="D16" t="s">
        <v>18</v>
      </c>
      <c r="E16" s="5">
        <v>46003</v>
      </c>
      <c r="F16" s="5">
        <v>46012</v>
      </c>
      <c r="G16">
        <f t="shared" si="0"/>
        <v>9</v>
      </c>
      <c r="H16" t="s">
        <v>60</v>
      </c>
      <c r="I16" t="s">
        <v>61</v>
      </c>
      <c r="J16" s="2">
        <v>12489.51</v>
      </c>
      <c r="K16" s="6">
        <v>1</v>
      </c>
      <c r="L16" t="s">
        <v>15</v>
      </c>
      <c r="M16" s="3">
        <f t="shared" si="1"/>
        <v>12489.51</v>
      </c>
      <c r="N16" s="9" t="str" cm="1">
        <f t="array" ref="N16">_xlfn.IFS(C16&lt;18,"Under 18",C16&lt;36,"18-35",C16&lt;51,"36-50",C16&lt;66,"51-65",C16&gt;=66,"Above 65")</f>
        <v>Above 65</v>
      </c>
      <c r="O16" s="6"/>
    </row>
    <row r="17" spans="1:15" x14ac:dyDescent="0.35">
      <c r="A17" t="s">
        <v>62</v>
      </c>
      <c r="B17" t="s">
        <v>63</v>
      </c>
      <c r="C17">
        <v>70</v>
      </c>
      <c r="D17" t="s">
        <v>18</v>
      </c>
      <c r="E17" s="5">
        <v>45695</v>
      </c>
      <c r="F17" s="5">
        <v>45701</v>
      </c>
      <c r="G17">
        <f t="shared" si="0"/>
        <v>6</v>
      </c>
      <c r="H17" t="s">
        <v>31</v>
      </c>
      <c r="I17" t="s">
        <v>35</v>
      </c>
      <c r="J17" s="2">
        <v>4262.21</v>
      </c>
      <c r="K17" s="6">
        <v>1</v>
      </c>
      <c r="L17" t="s">
        <v>15</v>
      </c>
      <c r="M17" s="3">
        <f t="shared" si="1"/>
        <v>4262.21</v>
      </c>
      <c r="N17" s="9" t="str" cm="1">
        <f t="array" ref="N17">_xlfn.IFS(C17&lt;18,"Under 18",C17&lt;36,"18-35",C17&lt;51,"36-50",C17&lt;66,"51-65",C17&gt;=66,"Above 65")</f>
        <v>Above 65</v>
      </c>
      <c r="O17" s="6"/>
    </row>
    <row r="18" spans="1:15" x14ac:dyDescent="0.35">
      <c r="A18" t="s">
        <v>64</v>
      </c>
      <c r="B18" t="s">
        <v>65</v>
      </c>
      <c r="C18">
        <v>38</v>
      </c>
      <c r="D18" t="s">
        <v>12</v>
      </c>
      <c r="E18" s="5">
        <v>45528</v>
      </c>
      <c r="F18" s="5">
        <v>45532</v>
      </c>
      <c r="G18">
        <f t="shared" si="0"/>
        <v>4</v>
      </c>
      <c r="H18" t="s">
        <v>31</v>
      </c>
      <c r="I18" t="s">
        <v>35</v>
      </c>
      <c r="J18" s="2">
        <v>5523.81</v>
      </c>
      <c r="K18" s="6">
        <v>0.7</v>
      </c>
      <c r="L18" t="s">
        <v>20</v>
      </c>
      <c r="M18" s="3">
        <f t="shared" si="1"/>
        <v>0</v>
      </c>
      <c r="N18" s="9" t="str" cm="1">
        <f t="array" ref="N18">_xlfn.IFS(C18&lt;18,"Under 18",C18&lt;36,"18-35",C18&lt;51,"36-50",C18&lt;66,"51-65",C18&gt;=66,"Above 65")</f>
        <v>36-50</v>
      </c>
      <c r="O18" s="6"/>
    </row>
    <row r="19" spans="1:15" x14ac:dyDescent="0.35">
      <c r="A19" t="s">
        <v>66</v>
      </c>
      <c r="B19" t="s">
        <v>67</v>
      </c>
      <c r="C19">
        <v>81</v>
      </c>
      <c r="D19" t="s">
        <v>18</v>
      </c>
      <c r="E19" s="5">
        <v>45439</v>
      </c>
      <c r="F19" s="5">
        <v>45441</v>
      </c>
      <c r="G19">
        <f t="shared" si="0"/>
        <v>2</v>
      </c>
      <c r="H19" t="s">
        <v>31</v>
      </c>
      <c r="I19" t="s">
        <v>32</v>
      </c>
      <c r="J19" s="2">
        <v>1097.76</v>
      </c>
      <c r="K19" s="6">
        <v>0.8</v>
      </c>
      <c r="L19" t="s">
        <v>15</v>
      </c>
      <c r="M19" s="3">
        <f t="shared" si="1"/>
        <v>1097.76</v>
      </c>
      <c r="N19" s="9" t="str" cm="1">
        <f t="array" ref="N19">_xlfn.IFS(C19&lt;18,"Under 18",C19&lt;36,"18-35",C19&lt;51,"36-50",C19&lt;66,"51-65",C19&gt;=66,"Above 65")</f>
        <v>Above 65</v>
      </c>
      <c r="O19" s="6"/>
    </row>
    <row r="20" spans="1:15" x14ac:dyDescent="0.35">
      <c r="A20" t="s">
        <v>68</v>
      </c>
      <c r="B20" t="s">
        <v>69</v>
      </c>
      <c r="C20">
        <v>35</v>
      </c>
      <c r="D20" t="s">
        <v>18</v>
      </c>
      <c r="E20" s="5">
        <v>45649</v>
      </c>
      <c r="F20" s="5">
        <v>45655</v>
      </c>
      <c r="G20">
        <f t="shared" si="0"/>
        <v>6</v>
      </c>
      <c r="H20" t="s">
        <v>70</v>
      </c>
      <c r="I20" t="s">
        <v>71</v>
      </c>
      <c r="J20" s="2">
        <v>14272.73</v>
      </c>
      <c r="K20" s="6">
        <v>0.8</v>
      </c>
      <c r="L20" t="s">
        <v>20</v>
      </c>
      <c r="M20" s="3">
        <f t="shared" si="1"/>
        <v>0</v>
      </c>
      <c r="N20" s="9" t="str" cm="1">
        <f t="array" ref="N20">_xlfn.IFS(C20&lt;18,"Under 18",C20&lt;36,"18-35",C20&lt;51,"36-50",C20&lt;66,"51-65",C20&gt;=66,"Above 65")</f>
        <v>18-35</v>
      </c>
      <c r="O20" s="6"/>
    </row>
    <row r="21" spans="1:15" x14ac:dyDescent="0.35">
      <c r="A21" t="s">
        <v>72</v>
      </c>
      <c r="B21" t="s">
        <v>73</v>
      </c>
      <c r="C21">
        <v>42</v>
      </c>
      <c r="D21" t="s">
        <v>18</v>
      </c>
      <c r="E21" s="5">
        <v>45804</v>
      </c>
      <c r="F21" s="5">
        <v>45817</v>
      </c>
      <c r="G21">
        <f t="shared" si="0"/>
        <v>13</v>
      </c>
      <c r="H21" t="s">
        <v>60</v>
      </c>
      <c r="I21" t="s">
        <v>74</v>
      </c>
      <c r="J21" s="2">
        <v>18429.310000000001</v>
      </c>
      <c r="K21" s="6">
        <v>1</v>
      </c>
      <c r="L21" t="s">
        <v>15</v>
      </c>
      <c r="M21" s="3">
        <f t="shared" si="1"/>
        <v>18429.310000000001</v>
      </c>
      <c r="N21" s="9" t="str" cm="1">
        <f t="array" ref="N21">_xlfn.IFS(C21&lt;18,"Under 18",C21&lt;36,"18-35",C21&lt;51,"36-50",C21&lt;66,"51-65",C21&gt;=66,"Above 65")</f>
        <v>36-50</v>
      </c>
      <c r="O21" s="6"/>
    </row>
    <row r="22" spans="1:15" x14ac:dyDescent="0.35">
      <c r="A22" t="s">
        <v>75</v>
      </c>
      <c r="B22" t="s">
        <v>76</v>
      </c>
      <c r="C22">
        <v>36</v>
      </c>
      <c r="D22" t="s">
        <v>12</v>
      </c>
      <c r="E22" s="5">
        <v>45952</v>
      </c>
      <c r="F22" s="5">
        <v>45958</v>
      </c>
      <c r="G22">
        <f t="shared" si="0"/>
        <v>6</v>
      </c>
      <c r="H22" t="s">
        <v>60</v>
      </c>
      <c r="I22" t="s">
        <v>77</v>
      </c>
      <c r="J22" s="2">
        <v>11481.03</v>
      </c>
      <c r="K22" s="6">
        <v>0.8</v>
      </c>
      <c r="L22" t="s">
        <v>20</v>
      </c>
      <c r="M22" s="3">
        <f t="shared" si="1"/>
        <v>0</v>
      </c>
      <c r="N22" s="9" t="str" cm="1">
        <f t="array" ref="N22">_xlfn.IFS(C22&lt;18,"Under 18",C22&lt;36,"18-35",C22&lt;51,"36-50",C22&lt;66,"51-65",C22&gt;=66,"Above 65")</f>
        <v>36-50</v>
      </c>
      <c r="O22" s="6"/>
    </row>
    <row r="23" spans="1:15" x14ac:dyDescent="0.35">
      <c r="A23" t="s">
        <v>78</v>
      </c>
      <c r="B23" t="s">
        <v>79</v>
      </c>
      <c r="C23">
        <v>67</v>
      </c>
      <c r="D23" t="s">
        <v>18</v>
      </c>
      <c r="E23" s="5">
        <v>45699</v>
      </c>
      <c r="F23" s="5">
        <v>45702</v>
      </c>
      <c r="G23">
        <f t="shared" si="0"/>
        <v>3</v>
      </c>
      <c r="H23" t="s">
        <v>13</v>
      </c>
      <c r="I23" t="s">
        <v>14</v>
      </c>
      <c r="J23" s="2">
        <v>6324.27</v>
      </c>
      <c r="K23" s="6">
        <v>0.8</v>
      </c>
      <c r="L23" t="s">
        <v>15</v>
      </c>
      <c r="M23" s="3">
        <f t="shared" si="1"/>
        <v>6324.27</v>
      </c>
      <c r="N23" s="9" t="str" cm="1">
        <f t="array" ref="N23">_xlfn.IFS(C23&lt;18,"Under 18",C23&lt;36,"18-35",C23&lt;51,"36-50",C23&lt;66,"51-65",C23&gt;=66,"Above 65")</f>
        <v>Above 65</v>
      </c>
      <c r="O23" s="6"/>
    </row>
    <row r="24" spans="1:15" x14ac:dyDescent="0.35">
      <c r="A24" t="s">
        <v>80</v>
      </c>
      <c r="B24" t="s">
        <v>81</v>
      </c>
      <c r="C24">
        <v>23</v>
      </c>
      <c r="D24" t="s">
        <v>12</v>
      </c>
      <c r="E24" s="5">
        <v>45613</v>
      </c>
      <c r="F24" s="5">
        <v>45614</v>
      </c>
      <c r="G24">
        <f t="shared" si="0"/>
        <v>1</v>
      </c>
      <c r="H24" t="s">
        <v>23</v>
      </c>
      <c r="I24" t="s">
        <v>82</v>
      </c>
      <c r="J24" s="2">
        <v>1888.07</v>
      </c>
      <c r="K24" s="6">
        <v>0.8</v>
      </c>
      <c r="L24" t="s">
        <v>25</v>
      </c>
      <c r="M24" s="3">
        <f t="shared" si="1"/>
        <v>0</v>
      </c>
      <c r="N24" s="9" t="str" cm="1">
        <f t="array" ref="N24">_xlfn.IFS(C24&lt;18,"Under 18",C24&lt;36,"18-35",C24&lt;51,"36-50",C24&lt;66,"51-65",C24&gt;=66,"Above 65")</f>
        <v>18-35</v>
      </c>
      <c r="O24" s="6"/>
    </row>
    <row r="25" spans="1:15" x14ac:dyDescent="0.35">
      <c r="A25" t="s">
        <v>83</v>
      </c>
      <c r="B25" t="s">
        <v>84</v>
      </c>
      <c r="C25">
        <v>66</v>
      </c>
      <c r="D25" t="s">
        <v>18</v>
      </c>
      <c r="E25" s="5">
        <v>45370</v>
      </c>
      <c r="F25" s="5">
        <v>45378</v>
      </c>
      <c r="G25">
        <f t="shared" si="0"/>
        <v>8</v>
      </c>
      <c r="H25" t="s">
        <v>13</v>
      </c>
      <c r="I25" t="s">
        <v>14</v>
      </c>
      <c r="J25" s="2">
        <v>21654.18</v>
      </c>
      <c r="K25" s="6">
        <v>0.7</v>
      </c>
      <c r="L25" t="s">
        <v>15</v>
      </c>
      <c r="M25" s="3">
        <f t="shared" si="1"/>
        <v>21654.18</v>
      </c>
      <c r="N25" s="9" t="str" cm="1">
        <f t="array" ref="N25">_xlfn.IFS(C25&lt;18,"Under 18",C25&lt;36,"18-35",C25&lt;51,"36-50",C25&lt;66,"51-65",C25&gt;=66,"Above 65")</f>
        <v>Above 65</v>
      </c>
      <c r="O25" s="6"/>
    </row>
    <row r="26" spans="1:15" x14ac:dyDescent="0.35">
      <c r="A26" t="s">
        <v>85</v>
      </c>
      <c r="B26" t="s">
        <v>86</v>
      </c>
      <c r="C26">
        <v>57</v>
      </c>
      <c r="D26" t="s">
        <v>18</v>
      </c>
      <c r="E26" s="5">
        <v>45706</v>
      </c>
      <c r="F26" s="5">
        <v>45709</v>
      </c>
      <c r="G26">
        <f t="shared" si="0"/>
        <v>3</v>
      </c>
      <c r="H26" t="s">
        <v>31</v>
      </c>
      <c r="I26" t="s">
        <v>87</v>
      </c>
      <c r="J26" s="2">
        <v>2641.14</v>
      </c>
      <c r="K26" s="6">
        <v>1</v>
      </c>
      <c r="L26" t="s">
        <v>15</v>
      </c>
      <c r="M26" s="3">
        <f t="shared" si="1"/>
        <v>2641.14</v>
      </c>
      <c r="N26" s="9" t="str" cm="1">
        <f t="array" ref="N26">_xlfn.IFS(C26&lt;18,"Under 18",C26&lt;36,"18-35",C26&lt;51,"36-50",C26&lt;66,"51-65",C26&gt;=66,"Above 65")</f>
        <v>51-65</v>
      </c>
      <c r="O26" s="6"/>
    </row>
    <row r="27" spans="1:15" x14ac:dyDescent="0.35">
      <c r="A27" t="s">
        <v>88</v>
      </c>
      <c r="B27" t="s">
        <v>89</v>
      </c>
      <c r="C27">
        <v>44</v>
      </c>
      <c r="D27" t="s">
        <v>12</v>
      </c>
      <c r="E27" s="5">
        <v>45463</v>
      </c>
      <c r="F27" s="5">
        <v>45467</v>
      </c>
      <c r="G27">
        <f t="shared" si="0"/>
        <v>4</v>
      </c>
      <c r="H27" t="s">
        <v>31</v>
      </c>
      <c r="I27" t="s">
        <v>53</v>
      </c>
      <c r="J27" s="2">
        <v>5522.03</v>
      </c>
      <c r="K27" s="6">
        <v>0</v>
      </c>
      <c r="L27" t="s">
        <v>25</v>
      </c>
      <c r="M27" s="3">
        <f t="shared" si="1"/>
        <v>0</v>
      </c>
      <c r="N27" s="9" t="str" cm="1">
        <f t="array" ref="N27">_xlfn.IFS(C27&lt;18,"Under 18",C27&lt;36,"18-35",C27&lt;51,"36-50",C27&lt;66,"51-65",C27&gt;=66,"Above 65")</f>
        <v>36-50</v>
      </c>
      <c r="O27" s="6"/>
    </row>
    <row r="28" spans="1:15" x14ac:dyDescent="0.35">
      <c r="A28" t="s">
        <v>90</v>
      </c>
      <c r="B28" t="s">
        <v>91</v>
      </c>
      <c r="C28">
        <v>58</v>
      </c>
      <c r="D28" t="s">
        <v>12</v>
      </c>
      <c r="E28" s="5">
        <v>45446</v>
      </c>
      <c r="F28" s="5">
        <v>45451</v>
      </c>
      <c r="G28">
        <f t="shared" si="0"/>
        <v>5</v>
      </c>
      <c r="H28" t="s">
        <v>13</v>
      </c>
      <c r="I28" t="s">
        <v>38</v>
      </c>
      <c r="J28" s="2">
        <v>8789.32</v>
      </c>
      <c r="K28" s="6">
        <v>0.9</v>
      </c>
      <c r="L28" t="s">
        <v>20</v>
      </c>
      <c r="M28" s="3">
        <f t="shared" si="1"/>
        <v>0</v>
      </c>
      <c r="N28" s="9" t="str" cm="1">
        <f t="array" ref="N28">_xlfn.IFS(C28&lt;18,"Under 18",C28&lt;36,"18-35",C28&lt;51,"36-50",C28&lt;66,"51-65",C28&gt;=66,"Above 65")</f>
        <v>51-65</v>
      </c>
      <c r="O28" s="6"/>
    </row>
    <row r="29" spans="1:15" x14ac:dyDescent="0.35">
      <c r="A29" t="s">
        <v>92</v>
      </c>
      <c r="B29" t="s">
        <v>93</v>
      </c>
      <c r="C29">
        <v>62</v>
      </c>
      <c r="D29" t="s">
        <v>12</v>
      </c>
      <c r="E29" s="5">
        <v>45682</v>
      </c>
      <c r="F29" s="5">
        <v>45687</v>
      </c>
      <c r="G29">
        <f t="shared" si="0"/>
        <v>5</v>
      </c>
      <c r="H29" t="s">
        <v>70</v>
      </c>
      <c r="I29" t="s">
        <v>94</v>
      </c>
      <c r="J29" s="2">
        <v>7969.42</v>
      </c>
      <c r="K29" s="6">
        <v>1</v>
      </c>
      <c r="L29" t="s">
        <v>15</v>
      </c>
      <c r="M29" s="3">
        <f t="shared" si="1"/>
        <v>7969.42</v>
      </c>
      <c r="N29" s="9" t="str" cm="1">
        <f t="array" ref="N29">_xlfn.IFS(C29&lt;18,"Under 18",C29&lt;36,"18-35",C29&lt;51,"36-50",C29&lt;66,"51-65",C29&gt;=66,"Above 65")</f>
        <v>51-65</v>
      </c>
      <c r="O29" s="6"/>
    </row>
    <row r="30" spans="1:15" x14ac:dyDescent="0.35">
      <c r="A30" t="s">
        <v>95</v>
      </c>
      <c r="B30" t="s">
        <v>96</v>
      </c>
      <c r="C30">
        <v>52</v>
      </c>
      <c r="D30" t="s">
        <v>12</v>
      </c>
      <c r="E30" s="5">
        <v>45753</v>
      </c>
      <c r="F30" s="5">
        <v>45759</v>
      </c>
      <c r="G30">
        <f t="shared" si="0"/>
        <v>6</v>
      </c>
      <c r="H30" t="s">
        <v>60</v>
      </c>
      <c r="I30" t="s">
        <v>97</v>
      </c>
      <c r="J30" s="2">
        <v>7929.71</v>
      </c>
      <c r="K30" s="6">
        <v>0.9</v>
      </c>
      <c r="L30" t="s">
        <v>15</v>
      </c>
      <c r="M30" s="3">
        <f t="shared" si="1"/>
        <v>7929.71</v>
      </c>
      <c r="N30" s="9" t="str" cm="1">
        <f t="array" ref="N30">_xlfn.IFS(C30&lt;18,"Under 18",C30&lt;36,"18-35",C30&lt;51,"36-50",C30&lt;66,"51-65",C30&gt;=66,"Above 65")</f>
        <v>51-65</v>
      </c>
      <c r="O30" s="6"/>
    </row>
    <row r="31" spans="1:15" x14ac:dyDescent="0.35">
      <c r="A31" t="s">
        <v>98</v>
      </c>
      <c r="B31" t="s">
        <v>99</v>
      </c>
      <c r="C31">
        <v>35</v>
      </c>
      <c r="D31" t="s">
        <v>18</v>
      </c>
      <c r="E31" s="5">
        <v>45566</v>
      </c>
      <c r="F31" s="5">
        <v>45569</v>
      </c>
      <c r="G31">
        <f t="shared" si="0"/>
        <v>3</v>
      </c>
      <c r="H31" t="s">
        <v>23</v>
      </c>
      <c r="I31" t="s">
        <v>28</v>
      </c>
      <c r="J31" s="2">
        <v>4772.8900000000003</v>
      </c>
      <c r="K31" s="6">
        <v>0.9</v>
      </c>
      <c r="L31" t="s">
        <v>15</v>
      </c>
      <c r="M31" s="3">
        <f t="shared" si="1"/>
        <v>4772.8900000000003</v>
      </c>
      <c r="N31" s="9" t="str" cm="1">
        <f t="array" ref="N31">_xlfn.IFS(C31&lt;18,"Under 18",C31&lt;36,"18-35",C31&lt;51,"36-50",C31&lt;66,"51-65",C31&gt;=66,"Above 65")</f>
        <v>18-35</v>
      </c>
      <c r="O31" s="6"/>
    </row>
    <row r="32" spans="1:15" x14ac:dyDescent="0.35">
      <c r="A32" t="s">
        <v>100</v>
      </c>
      <c r="B32" t="s">
        <v>101</v>
      </c>
      <c r="C32">
        <v>79</v>
      </c>
      <c r="D32" t="s">
        <v>18</v>
      </c>
      <c r="E32" s="5">
        <v>45466</v>
      </c>
      <c r="F32" s="5">
        <v>45469</v>
      </c>
      <c r="G32">
        <f t="shared" si="0"/>
        <v>3</v>
      </c>
      <c r="H32" t="s">
        <v>13</v>
      </c>
      <c r="I32" t="s">
        <v>102</v>
      </c>
      <c r="J32" s="2">
        <v>6826.49</v>
      </c>
      <c r="K32" s="6">
        <v>0.8</v>
      </c>
      <c r="L32" t="s">
        <v>15</v>
      </c>
      <c r="M32" s="3">
        <f t="shared" si="1"/>
        <v>6826.49</v>
      </c>
      <c r="N32" s="9" t="str" cm="1">
        <f t="array" ref="N32">_xlfn.IFS(C32&lt;18,"Under 18",C32&lt;36,"18-35",C32&lt;51,"36-50",C32&lt;66,"51-65",C32&gt;=66,"Above 65")</f>
        <v>Above 65</v>
      </c>
      <c r="O32" s="6"/>
    </row>
    <row r="33" spans="1:15" x14ac:dyDescent="0.35">
      <c r="A33" t="s">
        <v>103</v>
      </c>
      <c r="B33" t="s">
        <v>104</v>
      </c>
      <c r="C33">
        <v>69</v>
      </c>
      <c r="D33" t="s">
        <v>18</v>
      </c>
      <c r="E33" s="5">
        <v>45371</v>
      </c>
      <c r="F33" s="5">
        <v>45373</v>
      </c>
      <c r="G33">
        <f t="shared" si="0"/>
        <v>2</v>
      </c>
      <c r="H33" t="s">
        <v>31</v>
      </c>
      <c r="I33" t="s">
        <v>32</v>
      </c>
      <c r="J33" s="2">
        <v>2177.7800000000002</v>
      </c>
      <c r="K33" s="6">
        <v>0.9</v>
      </c>
      <c r="L33" t="s">
        <v>25</v>
      </c>
      <c r="M33" s="3">
        <f t="shared" si="1"/>
        <v>0</v>
      </c>
      <c r="N33" s="9" t="str" cm="1">
        <f t="array" ref="N33">_xlfn.IFS(C33&lt;18,"Under 18",C33&lt;36,"18-35",C33&lt;51,"36-50",C33&lt;66,"51-65",C33&gt;=66,"Above 65")</f>
        <v>Above 65</v>
      </c>
      <c r="O33" s="6"/>
    </row>
    <row r="34" spans="1:15" x14ac:dyDescent="0.35">
      <c r="A34" t="s">
        <v>105</v>
      </c>
      <c r="B34" t="s">
        <v>106</v>
      </c>
      <c r="C34">
        <v>21</v>
      </c>
      <c r="D34" t="s">
        <v>18</v>
      </c>
      <c r="E34" s="5">
        <v>45798</v>
      </c>
      <c r="F34" s="5">
        <v>45800</v>
      </c>
      <c r="G34">
        <f t="shared" si="0"/>
        <v>2</v>
      </c>
      <c r="H34" t="s">
        <v>23</v>
      </c>
      <c r="I34" t="s">
        <v>28</v>
      </c>
      <c r="J34" s="2">
        <v>3527.3</v>
      </c>
      <c r="K34" s="6">
        <v>0</v>
      </c>
      <c r="L34" t="s">
        <v>25</v>
      </c>
      <c r="M34" s="3">
        <f t="shared" si="1"/>
        <v>0</v>
      </c>
      <c r="N34" s="9" t="str" cm="1">
        <f t="array" ref="N34">_xlfn.IFS(C34&lt;18,"Under 18",C34&lt;36,"18-35",C34&lt;51,"36-50",C34&lt;66,"51-65",C34&gt;=66,"Above 65")</f>
        <v>18-35</v>
      </c>
      <c r="O34" s="6"/>
    </row>
    <row r="35" spans="1:15" x14ac:dyDescent="0.35">
      <c r="A35" t="s">
        <v>107</v>
      </c>
      <c r="B35" t="s">
        <v>108</v>
      </c>
      <c r="C35">
        <v>49</v>
      </c>
      <c r="D35" t="s">
        <v>12</v>
      </c>
      <c r="E35" s="5">
        <v>45945</v>
      </c>
      <c r="F35" s="5">
        <v>45946</v>
      </c>
      <c r="G35">
        <f t="shared" si="0"/>
        <v>1</v>
      </c>
      <c r="H35" t="s">
        <v>23</v>
      </c>
      <c r="I35" t="s">
        <v>28</v>
      </c>
      <c r="J35" s="2">
        <v>1184.01</v>
      </c>
      <c r="K35" s="6">
        <v>1</v>
      </c>
      <c r="L35" t="s">
        <v>15</v>
      </c>
      <c r="M35" s="3">
        <f t="shared" si="1"/>
        <v>1184.01</v>
      </c>
      <c r="N35" s="9" t="str" cm="1">
        <f t="array" ref="N35">_xlfn.IFS(C35&lt;18,"Under 18",C35&lt;36,"18-35",C35&lt;51,"36-50",C35&lt;66,"51-65",C35&gt;=66,"Above 65")</f>
        <v>36-50</v>
      </c>
      <c r="O35" s="6"/>
    </row>
    <row r="36" spans="1:15" x14ac:dyDescent="0.35">
      <c r="A36" t="s">
        <v>109</v>
      </c>
      <c r="B36" t="s">
        <v>110</v>
      </c>
      <c r="C36">
        <v>61</v>
      </c>
      <c r="D36" t="s">
        <v>12</v>
      </c>
      <c r="E36" s="5">
        <v>45737</v>
      </c>
      <c r="F36" s="5">
        <v>45742</v>
      </c>
      <c r="G36">
        <f t="shared" si="0"/>
        <v>5</v>
      </c>
      <c r="H36" t="s">
        <v>13</v>
      </c>
      <c r="I36" t="s">
        <v>111</v>
      </c>
      <c r="J36" s="2">
        <v>10760.65</v>
      </c>
      <c r="K36" s="6">
        <v>1</v>
      </c>
      <c r="L36" t="s">
        <v>15</v>
      </c>
      <c r="M36" s="3">
        <f t="shared" si="1"/>
        <v>10760.65</v>
      </c>
      <c r="N36" s="9" t="str" cm="1">
        <f t="array" ref="N36">_xlfn.IFS(C36&lt;18,"Under 18",C36&lt;36,"18-35",C36&lt;51,"36-50",C36&lt;66,"51-65",C36&gt;=66,"Above 65")</f>
        <v>51-65</v>
      </c>
      <c r="O36" s="6"/>
    </row>
    <row r="37" spans="1:15" x14ac:dyDescent="0.35">
      <c r="A37" t="s">
        <v>112</v>
      </c>
      <c r="B37" t="s">
        <v>113</v>
      </c>
      <c r="C37">
        <v>32</v>
      </c>
      <c r="D37" t="s">
        <v>18</v>
      </c>
      <c r="E37" s="5">
        <v>45878</v>
      </c>
      <c r="F37" s="5">
        <v>45883</v>
      </c>
      <c r="G37">
        <f t="shared" si="0"/>
        <v>5</v>
      </c>
      <c r="H37" t="s">
        <v>31</v>
      </c>
      <c r="I37" t="s">
        <v>114</v>
      </c>
      <c r="J37" s="2">
        <v>7422.15</v>
      </c>
      <c r="K37" s="6">
        <v>0.6</v>
      </c>
      <c r="L37" t="s">
        <v>20</v>
      </c>
      <c r="M37" s="3">
        <f t="shared" si="1"/>
        <v>0</v>
      </c>
      <c r="N37" s="9" t="str" cm="1">
        <f t="array" ref="N37">_xlfn.IFS(C37&lt;18,"Under 18",C37&lt;36,"18-35",C37&lt;51,"36-50",C37&lt;66,"51-65",C37&gt;=66,"Above 65")</f>
        <v>18-35</v>
      </c>
      <c r="O37" s="6"/>
    </row>
    <row r="38" spans="1:15" x14ac:dyDescent="0.35">
      <c r="A38" t="s">
        <v>115</v>
      </c>
      <c r="B38" t="s">
        <v>116</v>
      </c>
      <c r="C38">
        <v>7</v>
      </c>
      <c r="D38" t="s">
        <v>18</v>
      </c>
      <c r="E38" s="5">
        <v>45811</v>
      </c>
      <c r="F38" s="5">
        <v>45816</v>
      </c>
      <c r="G38">
        <f t="shared" si="0"/>
        <v>5</v>
      </c>
      <c r="H38" t="s">
        <v>49</v>
      </c>
      <c r="I38" t="s">
        <v>117</v>
      </c>
      <c r="J38" s="2">
        <v>3623.14</v>
      </c>
      <c r="K38" s="6">
        <v>0.5</v>
      </c>
      <c r="L38" t="s">
        <v>15</v>
      </c>
      <c r="M38" s="3">
        <f t="shared" si="1"/>
        <v>3623.14</v>
      </c>
      <c r="N38" s="9" t="str" cm="1">
        <f t="array" ref="N38">_xlfn.IFS(C38&lt;18,"Under 18",C38&lt;36,"18-35",C38&lt;51,"36-50",C38&lt;66,"51-65",C38&gt;=66,"Above 65")</f>
        <v>Under 18</v>
      </c>
      <c r="O38" s="6"/>
    </row>
    <row r="39" spans="1:15" x14ac:dyDescent="0.35">
      <c r="A39" t="s">
        <v>118</v>
      </c>
      <c r="B39" t="s">
        <v>119</v>
      </c>
      <c r="C39">
        <v>7</v>
      </c>
      <c r="D39" t="s">
        <v>12</v>
      </c>
      <c r="E39" s="5">
        <v>45636</v>
      </c>
      <c r="F39" s="5">
        <v>45637</v>
      </c>
      <c r="G39">
        <f t="shared" si="0"/>
        <v>1</v>
      </c>
      <c r="H39" t="s">
        <v>49</v>
      </c>
      <c r="I39" t="s">
        <v>120</v>
      </c>
      <c r="J39" s="2">
        <v>946.04</v>
      </c>
      <c r="K39" s="6">
        <v>0.9</v>
      </c>
      <c r="L39" t="s">
        <v>20</v>
      </c>
      <c r="M39" s="3">
        <f t="shared" si="1"/>
        <v>0</v>
      </c>
      <c r="N39" s="9" t="str" cm="1">
        <f t="array" ref="N39">_xlfn.IFS(C39&lt;18,"Under 18",C39&lt;36,"18-35",C39&lt;51,"36-50",C39&lt;66,"51-65",C39&gt;=66,"Above 65")</f>
        <v>Under 18</v>
      </c>
      <c r="O39" s="6"/>
    </row>
    <row r="40" spans="1:15" x14ac:dyDescent="0.35">
      <c r="A40" t="s">
        <v>121</v>
      </c>
      <c r="B40" t="s">
        <v>122</v>
      </c>
      <c r="C40">
        <v>4</v>
      </c>
      <c r="D40" t="s">
        <v>12</v>
      </c>
      <c r="E40" s="5">
        <v>45952</v>
      </c>
      <c r="F40" s="5">
        <v>45955</v>
      </c>
      <c r="G40">
        <f t="shared" si="0"/>
        <v>3</v>
      </c>
      <c r="H40" t="s">
        <v>49</v>
      </c>
      <c r="I40" t="s">
        <v>123</v>
      </c>
      <c r="J40" s="2">
        <v>3976.01</v>
      </c>
      <c r="K40" s="6">
        <v>0.6</v>
      </c>
      <c r="L40" t="s">
        <v>25</v>
      </c>
      <c r="M40" s="3">
        <f t="shared" si="1"/>
        <v>0</v>
      </c>
      <c r="N40" s="9" t="str" cm="1">
        <f t="array" ref="N40">_xlfn.IFS(C40&lt;18,"Under 18",C40&lt;36,"18-35",C40&lt;51,"36-50",C40&lt;66,"51-65",C40&gt;=66,"Above 65")</f>
        <v>Under 18</v>
      </c>
      <c r="O40" s="6"/>
    </row>
    <row r="41" spans="1:15" x14ac:dyDescent="0.35">
      <c r="A41" t="s">
        <v>124</v>
      </c>
      <c r="B41" t="s">
        <v>125</v>
      </c>
      <c r="C41">
        <v>81</v>
      </c>
      <c r="D41" t="s">
        <v>18</v>
      </c>
      <c r="E41" s="5">
        <v>45643</v>
      </c>
      <c r="F41" s="5">
        <v>45652</v>
      </c>
      <c r="G41">
        <f t="shared" si="0"/>
        <v>9</v>
      </c>
      <c r="H41" t="s">
        <v>13</v>
      </c>
      <c r="I41" t="s">
        <v>14</v>
      </c>
      <c r="J41" s="2">
        <v>26928.32</v>
      </c>
      <c r="K41" s="6">
        <v>0.7</v>
      </c>
      <c r="L41" t="s">
        <v>25</v>
      </c>
      <c r="M41" s="3">
        <f t="shared" si="1"/>
        <v>0</v>
      </c>
      <c r="N41" s="9" t="str" cm="1">
        <f t="array" ref="N41">_xlfn.IFS(C41&lt;18,"Under 18",C41&lt;36,"18-35",C41&lt;51,"36-50",C41&lt;66,"51-65",C41&gt;=66,"Above 65")</f>
        <v>Above 65</v>
      </c>
      <c r="O41" s="6"/>
    </row>
    <row r="42" spans="1:15" x14ac:dyDescent="0.35">
      <c r="A42" t="s">
        <v>126</v>
      </c>
      <c r="B42" t="s">
        <v>127</v>
      </c>
      <c r="C42">
        <v>81</v>
      </c>
      <c r="D42" t="s">
        <v>18</v>
      </c>
      <c r="E42" s="5">
        <v>45701</v>
      </c>
      <c r="F42" s="5">
        <v>45706</v>
      </c>
      <c r="G42">
        <f t="shared" si="0"/>
        <v>5</v>
      </c>
      <c r="H42" t="s">
        <v>13</v>
      </c>
      <c r="I42" t="s">
        <v>102</v>
      </c>
      <c r="J42" s="2">
        <v>7203.24</v>
      </c>
      <c r="K42" s="6">
        <v>0.7</v>
      </c>
      <c r="L42" t="s">
        <v>15</v>
      </c>
      <c r="M42" s="3">
        <f t="shared" si="1"/>
        <v>7203.24</v>
      </c>
      <c r="N42" s="9" t="str" cm="1">
        <f t="array" ref="N42">_xlfn.IFS(C42&lt;18,"Under 18",C42&lt;36,"18-35",C42&lt;51,"36-50",C42&lt;66,"51-65",C42&gt;=66,"Above 65")</f>
        <v>Above 65</v>
      </c>
      <c r="O42" s="6"/>
    </row>
    <row r="43" spans="1:15" x14ac:dyDescent="0.35">
      <c r="A43" t="s">
        <v>128</v>
      </c>
      <c r="B43" t="s">
        <v>129</v>
      </c>
      <c r="C43">
        <v>14</v>
      </c>
      <c r="D43" t="s">
        <v>18</v>
      </c>
      <c r="E43" s="5">
        <v>45979</v>
      </c>
      <c r="F43" s="5">
        <v>45983</v>
      </c>
      <c r="G43">
        <f t="shared" si="0"/>
        <v>4</v>
      </c>
      <c r="H43" t="s">
        <v>49</v>
      </c>
      <c r="I43" t="s">
        <v>130</v>
      </c>
      <c r="J43" s="2">
        <v>5685.06</v>
      </c>
      <c r="K43" s="6">
        <v>0.8</v>
      </c>
      <c r="L43" t="s">
        <v>15</v>
      </c>
      <c r="M43" s="3">
        <f t="shared" si="1"/>
        <v>5685.06</v>
      </c>
      <c r="N43" s="9" t="str" cm="1">
        <f t="array" ref="N43">_xlfn.IFS(C43&lt;18,"Under 18",C43&lt;36,"18-35",C43&lt;51,"36-50",C43&lt;66,"51-65",C43&gt;=66,"Above 65")</f>
        <v>Under 18</v>
      </c>
      <c r="O43" s="6"/>
    </row>
    <row r="44" spans="1:15" x14ac:dyDescent="0.35">
      <c r="A44" t="s">
        <v>131</v>
      </c>
      <c r="B44" t="s">
        <v>132</v>
      </c>
      <c r="C44">
        <v>73</v>
      </c>
      <c r="D44" t="s">
        <v>18</v>
      </c>
      <c r="E44" s="5">
        <v>45905</v>
      </c>
      <c r="F44" s="5">
        <v>45908</v>
      </c>
      <c r="G44">
        <f t="shared" si="0"/>
        <v>3</v>
      </c>
      <c r="H44" t="s">
        <v>60</v>
      </c>
      <c r="I44" t="s">
        <v>133</v>
      </c>
      <c r="J44" s="2">
        <v>4949.0600000000004</v>
      </c>
      <c r="K44" s="6">
        <v>0.5</v>
      </c>
      <c r="L44" t="s">
        <v>15</v>
      </c>
      <c r="M44" s="3">
        <f t="shared" si="1"/>
        <v>4949.0600000000004</v>
      </c>
      <c r="N44" s="9" t="str" cm="1">
        <f t="array" ref="N44">_xlfn.IFS(C44&lt;18,"Under 18",C44&lt;36,"18-35",C44&lt;51,"36-50",C44&lt;66,"51-65",C44&gt;=66,"Above 65")</f>
        <v>Above 65</v>
      </c>
      <c r="O44" s="6"/>
    </row>
    <row r="45" spans="1:15" x14ac:dyDescent="0.35">
      <c r="A45" t="s">
        <v>134</v>
      </c>
      <c r="B45" t="s">
        <v>81</v>
      </c>
      <c r="C45">
        <v>50</v>
      </c>
      <c r="D45" t="s">
        <v>12</v>
      </c>
      <c r="E45" s="5">
        <v>45638</v>
      </c>
      <c r="F45" s="5">
        <v>45642</v>
      </c>
      <c r="G45">
        <f t="shared" si="0"/>
        <v>4</v>
      </c>
      <c r="H45" t="s">
        <v>60</v>
      </c>
      <c r="I45" t="s">
        <v>77</v>
      </c>
      <c r="J45" s="2">
        <v>5586.28</v>
      </c>
      <c r="K45" s="6">
        <v>0.9</v>
      </c>
      <c r="L45" t="s">
        <v>15</v>
      </c>
      <c r="M45" s="3">
        <f t="shared" si="1"/>
        <v>5586.28</v>
      </c>
      <c r="N45" s="9" t="str" cm="1">
        <f t="array" ref="N45">_xlfn.IFS(C45&lt;18,"Under 18",C45&lt;36,"18-35",C45&lt;51,"36-50",C45&lt;66,"51-65",C45&gt;=66,"Above 65")</f>
        <v>36-50</v>
      </c>
      <c r="O45" s="6"/>
    </row>
    <row r="46" spans="1:15" x14ac:dyDescent="0.35">
      <c r="A46" t="s">
        <v>135</v>
      </c>
      <c r="B46" t="s">
        <v>136</v>
      </c>
      <c r="C46">
        <v>73</v>
      </c>
      <c r="D46" t="s">
        <v>18</v>
      </c>
      <c r="E46" s="5">
        <v>45490</v>
      </c>
      <c r="F46" s="5">
        <v>45491</v>
      </c>
      <c r="G46">
        <f t="shared" si="0"/>
        <v>1</v>
      </c>
      <c r="H46" t="s">
        <v>31</v>
      </c>
      <c r="I46" t="s">
        <v>53</v>
      </c>
      <c r="J46" s="2">
        <v>766.8</v>
      </c>
      <c r="K46" s="6">
        <v>0.6</v>
      </c>
      <c r="L46" t="s">
        <v>20</v>
      </c>
      <c r="M46" s="3">
        <f t="shared" si="1"/>
        <v>0</v>
      </c>
      <c r="N46" s="9" t="str" cm="1">
        <f t="array" ref="N46">_xlfn.IFS(C46&lt;18,"Under 18",C46&lt;36,"18-35",C46&lt;51,"36-50",C46&lt;66,"51-65",C46&gt;=66,"Above 65")</f>
        <v>Above 65</v>
      </c>
      <c r="O46" s="6"/>
    </row>
    <row r="47" spans="1:15" x14ac:dyDescent="0.35">
      <c r="A47" t="s">
        <v>137</v>
      </c>
      <c r="B47" t="s">
        <v>116</v>
      </c>
      <c r="C47">
        <v>60</v>
      </c>
      <c r="D47" t="s">
        <v>18</v>
      </c>
      <c r="E47" s="5">
        <v>45425</v>
      </c>
      <c r="F47" s="5">
        <v>45438</v>
      </c>
      <c r="G47">
        <f t="shared" si="0"/>
        <v>13</v>
      </c>
      <c r="H47" t="s">
        <v>60</v>
      </c>
      <c r="I47" t="s">
        <v>74</v>
      </c>
      <c r="J47" s="2">
        <v>28480.18</v>
      </c>
      <c r="K47" s="6">
        <v>0.7</v>
      </c>
      <c r="L47" t="s">
        <v>15</v>
      </c>
      <c r="M47" s="3">
        <f t="shared" si="1"/>
        <v>28480.18</v>
      </c>
      <c r="N47" s="9" t="str" cm="1">
        <f t="array" ref="N47">_xlfn.IFS(C47&lt;18,"Under 18",C47&lt;36,"18-35",C47&lt;51,"36-50",C47&lt;66,"51-65",C47&gt;=66,"Above 65")</f>
        <v>51-65</v>
      </c>
      <c r="O47" s="6"/>
    </row>
    <row r="48" spans="1:15" x14ac:dyDescent="0.35">
      <c r="A48" t="s">
        <v>138</v>
      </c>
      <c r="B48" t="s">
        <v>139</v>
      </c>
      <c r="C48">
        <v>37</v>
      </c>
      <c r="D48" t="s">
        <v>18</v>
      </c>
      <c r="E48" s="5">
        <v>45663</v>
      </c>
      <c r="F48" s="5">
        <v>45665</v>
      </c>
      <c r="G48">
        <f t="shared" si="0"/>
        <v>2</v>
      </c>
      <c r="H48" t="s">
        <v>31</v>
      </c>
      <c r="I48" t="s">
        <v>114</v>
      </c>
      <c r="J48" s="2">
        <v>1098.9100000000001</v>
      </c>
      <c r="K48" s="6">
        <v>0.7</v>
      </c>
      <c r="L48" t="s">
        <v>20</v>
      </c>
      <c r="M48" s="3">
        <f t="shared" si="1"/>
        <v>0</v>
      </c>
      <c r="N48" s="9" t="str" cm="1">
        <f t="array" ref="N48">_xlfn.IFS(C48&lt;18,"Under 18",C48&lt;36,"18-35",C48&lt;51,"36-50",C48&lt;66,"51-65",C48&gt;=66,"Above 65")</f>
        <v>36-50</v>
      </c>
      <c r="O48" s="6"/>
    </row>
    <row r="49" spans="1:15" x14ac:dyDescent="0.35">
      <c r="A49" t="s">
        <v>140</v>
      </c>
      <c r="B49" t="s">
        <v>141</v>
      </c>
      <c r="C49">
        <v>54</v>
      </c>
      <c r="D49" t="s">
        <v>12</v>
      </c>
      <c r="E49" s="5">
        <v>45966</v>
      </c>
      <c r="F49" s="5">
        <v>45976</v>
      </c>
      <c r="G49">
        <f t="shared" si="0"/>
        <v>10</v>
      </c>
      <c r="H49" t="s">
        <v>60</v>
      </c>
      <c r="I49" t="s">
        <v>142</v>
      </c>
      <c r="J49" s="2">
        <v>22377.119999999999</v>
      </c>
      <c r="K49" s="6">
        <v>0.8</v>
      </c>
      <c r="L49" t="s">
        <v>15</v>
      </c>
      <c r="M49" s="3">
        <f t="shared" si="1"/>
        <v>22377.119999999999</v>
      </c>
      <c r="N49" s="9" t="str" cm="1">
        <f t="array" ref="N49">_xlfn.IFS(C49&lt;18,"Under 18",C49&lt;36,"18-35",C49&lt;51,"36-50",C49&lt;66,"51-65",C49&gt;=66,"Above 65")</f>
        <v>51-65</v>
      </c>
      <c r="O49" s="6"/>
    </row>
    <row r="50" spans="1:15" x14ac:dyDescent="0.35">
      <c r="A50" t="s">
        <v>143</v>
      </c>
      <c r="B50" t="s">
        <v>144</v>
      </c>
      <c r="C50">
        <v>1</v>
      </c>
      <c r="D50" t="s">
        <v>12</v>
      </c>
      <c r="E50" s="5">
        <v>45545</v>
      </c>
      <c r="F50" s="5">
        <v>45549</v>
      </c>
      <c r="G50">
        <f t="shared" si="0"/>
        <v>4</v>
      </c>
      <c r="H50" t="s">
        <v>49</v>
      </c>
      <c r="I50" t="s">
        <v>120</v>
      </c>
      <c r="J50" s="2">
        <v>3895.9</v>
      </c>
      <c r="K50" s="6">
        <v>0</v>
      </c>
      <c r="L50" t="s">
        <v>20</v>
      </c>
      <c r="M50" s="3">
        <f t="shared" si="1"/>
        <v>0</v>
      </c>
      <c r="N50" s="9" t="str" cm="1">
        <f t="array" ref="N50">_xlfn.IFS(C50&lt;18,"Under 18",C50&lt;36,"18-35",C50&lt;51,"36-50",C50&lt;66,"51-65",C50&gt;=66,"Above 65")</f>
        <v>Under 18</v>
      </c>
      <c r="O50" s="6"/>
    </row>
    <row r="51" spans="1:15" x14ac:dyDescent="0.35">
      <c r="A51" t="s">
        <v>145</v>
      </c>
      <c r="B51" t="s">
        <v>146</v>
      </c>
      <c r="C51">
        <v>51</v>
      </c>
      <c r="D51" t="s">
        <v>12</v>
      </c>
      <c r="E51" s="5">
        <v>45920</v>
      </c>
      <c r="F51" s="5">
        <v>45929</v>
      </c>
      <c r="G51">
        <f t="shared" si="0"/>
        <v>9</v>
      </c>
      <c r="H51" t="s">
        <v>60</v>
      </c>
      <c r="I51" t="s">
        <v>142</v>
      </c>
      <c r="J51" s="2">
        <v>10684</v>
      </c>
      <c r="K51" s="6">
        <v>0.6</v>
      </c>
      <c r="L51" t="s">
        <v>15</v>
      </c>
      <c r="M51" s="3">
        <f t="shared" si="1"/>
        <v>10684</v>
      </c>
      <c r="N51" s="9" t="str" cm="1">
        <f t="array" ref="N51">_xlfn.IFS(C51&lt;18,"Under 18",C51&lt;36,"18-35",C51&lt;51,"36-50",C51&lt;66,"51-65",C51&gt;=66,"Above 65")</f>
        <v>51-65</v>
      </c>
      <c r="O51" s="6"/>
    </row>
    <row r="52" spans="1:15" x14ac:dyDescent="0.35">
      <c r="A52" t="s">
        <v>147</v>
      </c>
      <c r="B52" t="s">
        <v>148</v>
      </c>
      <c r="C52">
        <v>23</v>
      </c>
      <c r="D52" t="s">
        <v>18</v>
      </c>
      <c r="E52" s="5">
        <v>45479</v>
      </c>
      <c r="F52" s="5">
        <v>45483</v>
      </c>
      <c r="G52">
        <f t="shared" si="0"/>
        <v>4</v>
      </c>
      <c r="H52" t="s">
        <v>31</v>
      </c>
      <c r="I52" t="s">
        <v>35</v>
      </c>
      <c r="J52" s="2">
        <v>3643.5</v>
      </c>
      <c r="K52" s="6">
        <v>0.7</v>
      </c>
      <c r="L52" t="s">
        <v>25</v>
      </c>
      <c r="M52" s="3">
        <f t="shared" si="1"/>
        <v>0</v>
      </c>
      <c r="N52" s="9" t="str" cm="1">
        <f t="array" ref="N52">_xlfn.IFS(C52&lt;18,"Under 18",C52&lt;36,"18-35",C52&lt;51,"36-50",C52&lt;66,"51-65",C52&gt;=66,"Above 65")</f>
        <v>18-35</v>
      </c>
      <c r="O52" s="6"/>
    </row>
    <row r="53" spans="1:15" x14ac:dyDescent="0.35">
      <c r="A53" t="s">
        <v>149</v>
      </c>
      <c r="B53" t="s">
        <v>150</v>
      </c>
      <c r="C53">
        <v>67</v>
      </c>
      <c r="D53" t="s">
        <v>18</v>
      </c>
      <c r="E53" s="5">
        <v>45575</v>
      </c>
      <c r="F53" s="5">
        <v>45578</v>
      </c>
      <c r="G53">
        <f t="shared" si="0"/>
        <v>3</v>
      </c>
      <c r="H53" t="s">
        <v>23</v>
      </c>
      <c r="I53" t="s">
        <v>24</v>
      </c>
      <c r="J53" s="2">
        <v>5702.96</v>
      </c>
      <c r="K53" s="6">
        <v>0.8</v>
      </c>
      <c r="L53" t="s">
        <v>15</v>
      </c>
      <c r="M53" s="3">
        <f t="shared" si="1"/>
        <v>5702.96</v>
      </c>
      <c r="N53" s="9" t="str" cm="1">
        <f t="array" ref="N53">_xlfn.IFS(C53&lt;18,"Under 18",C53&lt;36,"18-35",C53&lt;51,"36-50",C53&lt;66,"51-65",C53&gt;=66,"Above 65")</f>
        <v>Above 65</v>
      </c>
      <c r="O53" s="6"/>
    </row>
    <row r="54" spans="1:15" x14ac:dyDescent="0.35">
      <c r="A54" t="s">
        <v>151</v>
      </c>
      <c r="B54" t="s">
        <v>152</v>
      </c>
      <c r="C54">
        <v>63</v>
      </c>
      <c r="D54" t="s">
        <v>12</v>
      </c>
      <c r="E54" s="5">
        <v>45905</v>
      </c>
      <c r="F54" s="5">
        <v>45912</v>
      </c>
      <c r="G54">
        <f t="shared" si="0"/>
        <v>7</v>
      </c>
      <c r="H54" t="s">
        <v>13</v>
      </c>
      <c r="I54" t="s">
        <v>19</v>
      </c>
      <c r="J54" s="2">
        <v>18049.650000000001</v>
      </c>
      <c r="K54" s="6">
        <v>0.8</v>
      </c>
      <c r="L54" t="s">
        <v>15</v>
      </c>
      <c r="M54" s="3">
        <f t="shared" si="1"/>
        <v>18049.650000000001</v>
      </c>
      <c r="N54" s="9" t="str" cm="1">
        <f t="array" ref="N54">_xlfn.IFS(C54&lt;18,"Under 18",C54&lt;36,"18-35",C54&lt;51,"36-50",C54&lt;66,"51-65",C54&gt;=66,"Above 65")</f>
        <v>51-65</v>
      </c>
      <c r="O54" s="6"/>
    </row>
    <row r="55" spans="1:15" x14ac:dyDescent="0.35">
      <c r="A55" t="s">
        <v>153</v>
      </c>
      <c r="B55" t="s">
        <v>154</v>
      </c>
      <c r="C55">
        <v>59</v>
      </c>
      <c r="D55" t="s">
        <v>12</v>
      </c>
      <c r="E55" s="5">
        <v>45751</v>
      </c>
      <c r="F55" s="5">
        <v>45757</v>
      </c>
      <c r="G55">
        <f t="shared" si="0"/>
        <v>6</v>
      </c>
      <c r="H55" t="s">
        <v>13</v>
      </c>
      <c r="I55" t="s">
        <v>14</v>
      </c>
      <c r="J55" s="2">
        <v>16488.400000000001</v>
      </c>
      <c r="K55" s="6">
        <v>0.8</v>
      </c>
      <c r="L55" t="s">
        <v>15</v>
      </c>
      <c r="M55" s="3">
        <f t="shared" si="1"/>
        <v>16488.400000000001</v>
      </c>
      <c r="N55" s="9" t="str" cm="1">
        <f t="array" ref="N55">_xlfn.IFS(C55&lt;18,"Under 18",C55&lt;36,"18-35",C55&lt;51,"36-50",C55&lt;66,"51-65",C55&gt;=66,"Above 65")</f>
        <v>51-65</v>
      </c>
      <c r="O55" s="6"/>
    </row>
    <row r="56" spans="1:15" x14ac:dyDescent="0.35">
      <c r="A56" t="s">
        <v>155</v>
      </c>
      <c r="B56" t="s">
        <v>156</v>
      </c>
      <c r="C56">
        <v>64</v>
      </c>
      <c r="D56" t="s">
        <v>18</v>
      </c>
      <c r="E56" s="5">
        <v>45662</v>
      </c>
      <c r="F56" s="5">
        <v>45670</v>
      </c>
      <c r="G56">
        <f t="shared" si="0"/>
        <v>8</v>
      </c>
      <c r="H56" t="s">
        <v>70</v>
      </c>
      <c r="I56" t="s">
        <v>157</v>
      </c>
      <c r="J56" s="2">
        <v>18217.14</v>
      </c>
      <c r="K56" s="6">
        <v>0.5</v>
      </c>
      <c r="L56" t="s">
        <v>25</v>
      </c>
      <c r="M56" s="3">
        <f t="shared" si="1"/>
        <v>0</v>
      </c>
      <c r="N56" s="9" t="str" cm="1">
        <f t="array" ref="N56">_xlfn.IFS(C56&lt;18,"Under 18",C56&lt;36,"18-35",C56&lt;51,"36-50",C56&lt;66,"51-65",C56&gt;=66,"Above 65")</f>
        <v>51-65</v>
      </c>
      <c r="O56" s="6"/>
    </row>
    <row r="57" spans="1:15" x14ac:dyDescent="0.35">
      <c r="A57" t="s">
        <v>158</v>
      </c>
      <c r="B57" t="s">
        <v>159</v>
      </c>
      <c r="C57">
        <v>60</v>
      </c>
      <c r="D57" t="s">
        <v>12</v>
      </c>
      <c r="E57" s="5">
        <v>45608</v>
      </c>
      <c r="F57" s="5">
        <v>45619</v>
      </c>
      <c r="G57">
        <f t="shared" si="0"/>
        <v>11</v>
      </c>
      <c r="H57" t="s">
        <v>60</v>
      </c>
      <c r="I57" t="s">
        <v>74</v>
      </c>
      <c r="J57" s="2">
        <v>16175.09</v>
      </c>
      <c r="K57" s="6">
        <v>0.8</v>
      </c>
      <c r="L57" t="s">
        <v>20</v>
      </c>
      <c r="M57" s="3">
        <f t="shared" si="1"/>
        <v>0</v>
      </c>
      <c r="N57" s="9" t="str" cm="1">
        <f t="array" ref="N57">_xlfn.IFS(C57&lt;18,"Under 18",C57&lt;36,"18-35",C57&lt;51,"36-50",C57&lt;66,"51-65",C57&gt;=66,"Above 65")</f>
        <v>51-65</v>
      </c>
      <c r="O57" s="6"/>
    </row>
    <row r="58" spans="1:15" x14ac:dyDescent="0.35">
      <c r="A58" t="s">
        <v>160</v>
      </c>
      <c r="B58" t="s">
        <v>161</v>
      </c>
      <c r="C58">
        <v>77</v>
      </c>
      <c r="D58" t="s">
        <v>18</v>
      </c>
      <c r="E58" s="5">
        <v>45372</v>
      </c>
      <c r="F58" s="5">
        <v>45380</v>
      </c>
      <c r="G58">
        <f t="shared" si="0"/>
        <v>8</v>
      </c>
      <c r="H58" t="s">
        <v>13</v>
      </c>
      <c r="I58" t="s">
        <v>14</v>
      </c>
      <c r="J58" s="2">
        <v>12858.55</v>
      </c>
      <c r="K58" s="6">
        <v>0.8</v>
      </c>
      <c r="L58" t="s">
        <v>20</v>
      </c>
      <c r="M58" s="3">
        <f t="shared" si="1"/>
        <v>0</v>
      </c>
      <c r="N58" s="9" t="str" cm="1">
        <f t="array" ref="N58">_xlfn.IFS(C58&lt;18,"Under 18",C58&lt;36,"18-35",C58&lt;51,"36-50",C58&lt;66,"51-65",C58&gt;=66,"Above 65")</f>
        <v>Above 65</v>
      </c>
      <c r="O58" s="6"/>
    </row>
    <row r="59" spans="1:15" x14ac:dyDescent="0.35">
      <c r="A59" t="s">
        <v>162</v>
      </c>
      <c r="B59" t="s">
        <v>163</v>
      </c>
      <c r="C59">
        <v>29</v>
      </c>
      <c r="D59" t="s">
        <v>12</v>
      </c>
      <c r="E59" s="5">
        <v>45782</v>
      </c>
      <c r="F59" s="5">
        <v>45796</v>
      </c>
      <c r="G59">
        <f t="shared" si="0"/>
        <v>14</v>
      </c>
      <c r="H59" t="s">
        <v>60</v>
      </c>
      <c r="I59" t="s">
        <v>74</v>
      </c>
      <c r="J59" s="2">
        <v>14617.11</v>
      </c>
      <c r="K59" s="6">
        <v>0</v>
      </c>
      <c r="L59" t="s">
        <v>25</v>
      </c>
      <c r="M59" s="3">
        <f t="shared" si="1"/>
        <v>0</v>
      </c>
      <c r="N59" s="9" t="str" cm="1">
        <f t="array" ref="N59">_xlfn.IFS(C59&lt;18,"Under 18",C59&lt;36,"18-35",C59&lt;51,"36-50",C59&lt;66,"51-65",C59&gt;=66,"Above 65")</f>
        <v>18-35</v>
      </c>
      <c r="O59" s="6"/>
    </row>
    <row r="60" spans="1:15" x14ac:dyDescent="0.35">
      <c r="A60" t="s">
        <v>164</v>
      </c>
      <c r="B60" t="s">
        <v>119</v>
      </c>
      <c r="C60">
        <v>77</v>
      </c>
      <c r="D60" t="s">
        <v>12</v>
      </c>
      <c r="E60" s="5">
        <v>45331</v>
      </c>
      <c r="F60" s="5">
        <v>45338</v>
      </c>
      <c r="G60">
        <f t="shared" si="0"/>
        <v>7</v>
      </c>
      <c r="H60" t="s">
        <v>13</v>
      </c>
      <c r="I60" t="s">
        <v>165</v>
      </c>
      <c r="J60" s="2">
        <v>8848.16</v>
      </c>
      <c r="K60" s="6">
        <v>0.9</v>
      </c>
      <c r="L60" t="s">
        <v>15</v>
      </c>
      <c r="M60" s="3">
        <f t="shared" si="1"/>
        <v>8848.16</v>
      </c>
      <c r="N60" s="9" t="str" cm="1">
        <f t="array" ref="N60">_xlfn.IFS(C60&lt;18,"Under 18",C60&lt;36,"18-35",C60&lt;51,"36-50",C60&lt;66,"51-65",C60&gt;=66,"Above 65")</f>
        <v>Above 65</v>
      </c>
      <c r="O60" s="6"/>
    </row>
    <row r="61" spans="1:15" x14ac:dyDescent="0.35">
      <c r="A61" t="s">
        <v>166</v>
      </c>
      <c r="B61" t="s">
        <v>89</v>
      </c>
      <c r="C61">
        <v>38</v>
      </c>
      <c r="D61" t="s">
        <v>12</v>
      </c>
      <c r="E61" s="5">
        <v>45435</v>
      </c>
      <c r="F61" s="5">
        <v>45437</v>
      </c>
      <c r="G61">
        <f t="shared" si="0"/>
        <v>2</v>
      </c>
      <c r="H61" t="s">
        <v>23</v>
      </c>
      <c r="I61" t="s">
        <v>82</v>
      </c>
      <c r="J61" s="2">
        <v>4529.29</v>
      </c>
      <c r="K61" s="6">
        <v>0.6</v>
      </c>
      <c r="L61" t="s">
        <v>25</v>
      </c>
      <c r="M61" s="3">
        <f t="shared" si="1"/>
        <v>0</v>
      </c>
      <c r="N61" s="9" t="str" cm="1">
        <f t="array" ref="N61">_xlfn.IFS(C61&lt;18,"Under 18",C61&lt;36,"18-35",C61&lt;51,"36-50",C61&lt;66,"51-65",C61&gt;=66,"Above 65")</f>
        <v>36-50</v>
      </c>
      <c r="O61" s="6"/>
    </row>
    <row r="62" spans="1:15" x14ac:dyDescent="0.35">
      <c r="A62" t="s">
        <v>167</v>
      </c>
      <c r="B62" t="s">
        <v>168</v>
      </c>
      <c r="C62">
        <v>43</v>
      </c>
      <c r="D62" t="s">
        <v>18</v>
      </c>
      <c r="E62" s="5">
        <v>45608</v>
      </c>
      <c r="F62" s="5">
        <v>45610</v>
      </c>
      <c r="G62">
        <f t="shared" si="0"/>
        <v>2</v>
      </c>
      <c r="H62" t="s">
        <v>31</v>
      </c>
      <c r="I62" t="s">
        <v>53</v>
      </c>
      <c r="J62" s="2">
        <v>1655.08</v>
      </c>
      <c r="K62" s="6">
        <v>0.8</v>
      </c>
      <c r="L62" t="s">
        <v>15</v>
      </c>
      <c r="M62" s="3">
        <f t="shared" si="1"/>
        <v>1655.08</v>
      </c>
      <c r="N62" s="9" t="str" cm="1">
        <f t="array" ref="N62">_xlfn.IFS(C62&lt;18,"Under 18",C62&lt;36,"18-35",C62&lt;51,"36-50",C62&lt;66,"51-65",C62&gt;=66,"Above 65")</f>
        <v>36-50</v>
      </c>
      <c r="O62" s="6"/>
    </row>
    <row r="63" spans="1:15" x14ac:dyDescent="0.35">
      <c r="A63" t="s">
        <v>169</v>
      </c>
      <c r="B63" t="s">
        <v>170</v>
      </c>
      <c r="C63">
        <v>16</v>
      </c>
      <c r="D63" t="s">
        <v>12</v>
      </c>
      <c r="E63" s="5">
        <v>45776</v>
      </c>
      <c r="F63" s="5">
        <v>45777</v>
      </c>
      <c r="G63">
        <f t="shared" si="0"/>
        <v>1</v>
      </c>
      <c r="H63" t="s">
        <v>49</v>
      </c>
      <c r="I63" t="s">
        <v>120</v>
      </c>
      <c r="J63" s="2">
        <v>1165.3699999999999</v>
      </c>
      <c r="K63" s="6">
        <v>0.8</v>
      </c>
      <c r="L63" t="s">
        <v>20</v>
      </c>
      <c r="M63" s="3">
        <f t="shared" si="1"/>
        <v>0</v>
      </c>
      <c r="N63" s="9" t="str" cm="1">
        <f t="array" ref="N63">_xlfn.IFS(C63&lt;18,"Under 18",C63&lt;36,"18-35",C63&lt;51,"36-50",C63&lt;66,"51-65",C63&gt;=66,"Above 65")</f>
        <v>Under 18</v>
      </c>
      <c r="O63" s="6"/>
    </row>
    <row r="64" spans="1:15" x14ac:dyDescent="0.35">
      <c r="A64" t="s">
        <v>171</v>
      </c>
      <c r="B64" t="s">
        <v>172</v>
      </c>
      <c r="C64">
        <v>47</v>
      </c>
      <c r="D64" t="s">
        <v>18</v>
      </c>
      <c r="E64" s="5">
        <v>45771</v>
      </c>
      <c r="F64" s="5">
        <v>45775</v>
      </c>
      <c r="G64">
        <f t="shared" si="0"/>
        <v>4</v>
      </c>
      <c r="H64" t="s">
        <v>13</v>
      </c>
      <c r="I64" t="s">
        <v>165</v>
      </c>
      <c r="J64" s="2">
        <v>5020.34</v>
      </c>
      <c r="K64" s="6">
        <v>0.8</v>
      </c>
      <c r="L64" t="s">
        <v>15</v>
      </c>
      <c r="M64" s="3">
        <f t="shared" si="1"/>
        <v>5020.34</v>
      </c>
      <c r="N64" s="9" t="str" cm="1">
        <f t="array" ref="N64">_xlfn.IFS(C64&lt;18,"Under 18",C64&lt;36,"18-35",C64&lt;51,"36-50",C64&lt;66,"51-65",C64&gt;=66,"Above 65")</f>
        <v>36-50</v>
      </c>
      <c r="O64" s="6"/>
    </row>
    <row r="65" spans="1:15" x14ac:dyDescent="0.35">
      <c r="A65" t="s">
        <v>173</v>
      </c>
      <c r="B65" t="s">
        <v>113</v>
      </c>
      <c r="C65">
        <v>5</v>
      </c>
      <c r="D65" t="s">
        <v>18</v>
      </c>
      <c r="E65" s="5">
        <v>45405</v>
      </c>
      <c r="F65" s="5">
        <v>45408</v>
      </c>
      <c r="G65">
        <f t="shared" si="0"/>
        <v>3</v>
      </c>
      <c r="H65" t="s">
        <v>49</v>
      </c>
      <c r="I65" t="s">
        <v>123</v>
      </c>
      <c r="J65" s="2">
        <v>4344.45</v>
      </c>
      <c r="K65" s="6">
        <v>1</v>
      </c>
      <c r="L65" t="s">
        <v>15</v>
      </c>
      <c r="M65" s="3">
        <f t="shared" si="1"/>
        <v>4344.45</v>
      </c>
      <c r="N65" s="9" t="str" cm="1">
        <f t="array" ref="N65">_xlfn.IFS(C65&lt;18,"Under 18",C65&lt;36,"18-35",C65&lt;51,"36-50",C65&lt;66,"51-65",C65&gt;=66,"Above 65")</f>
        <v>Under 18</v>
      </c>
      <c r="O65" s="6"/>
    </row>
    <row r="66" spans="1:15" x14ac:dyDescent="0.35">
      <c r="A66" t="s">
        <v>174</v>
      </c>
      <c r="B66" t="s">
        <v>175</v>
      </c>
      <c r="C66">
        <v>40</v>
      </c>
      <c r="D66" t="s">
        <v>18</v>
      </c>
      <c r="E66" s="5">
        <v>45942</v>
      </c>
      <c r="F66" s="5">
        <v>45951</v>
      </c>
      <c r="G66">
        <f t="shared" si="0"/>
        <v>9</v>
      </c>
      <c r="H66" t="s">
        <v>13</v>
      </c>
      <c r="I66" t="s">
        <v>165</v>
      </c>
      <c r="J66" s="2">
        <v>11900.88</v>
      </c>
      <c r="K66" s="6">
        <v>0.8</v>
      </c>
      <c r="L66" t="s">
        <v>20</v>
      </c>
      <c r="M66" s="3">
        <f t="shared" si="1"/>
        <v>0</v>
      </c>
      <c r="N66" s="9" t="str" cm="1">
        <f t="array" ref="N66">_xlfn.IFS(C66&lt;18,"Under 18",C66&lt;36,"18-35",C66&lt;51,"36-50",C66&lt;66,"51-65",C66&gt;=66,"Above 65")</f>
        <v>36-50</v>
      </c>
      <c r="O66" s="6"/>
    </row>
    <row r="67" spans="1:15" x14ac:dyDescent="0.35">
      <c r="A67" t="s">
        <v>176</v>
      </c>
      <c r="B67" t="s">
        <v>177</v>
      </c>
      <c r="C67">
        <v>67</v>
      </c>
      <c r="D67" t="s">
        <v>12</v>
      </c>
      <c r="E67" s="5">
        <v>45681</v>
      </c>
      <c r="F67" s="5">
        <v>45690</v>
      </c>
      <c r="G67">
        <f t="shared" ref="G67:G130" si="2">DATEDIF(E67,F67,"D")</f>
        <v>9</v>
      </c>
      <c r="H67" t="s">
        <v>70</v>
      </c>
      <c r="I67" t="s">
        <v>94</v>
      </c>
      <c r="J67" s="2">
        <v>12380.25</v>
      </c>
      <c r="K67" s="6">
        <v>0.8</v>
      </c>
      <c r="L67" t="s">
        <v>15</v>
      </c>
      <c r="M67" s="3">
        <f t="shared" ref="M67:M130" si="3">IF(L67 = "Paid",J67,0)</f>
        <v>12380.25</v>
      </c>
      <c r="N67" s="9" t="str" cm="1">
        <f t="array" ref="N67">_xlfn.IFS(C67&lt;18,"Under 18",C67&lt;36,"18-35",C67&lt;51,"36-50",C67&lt;66,"51-65",C67&gt;=66,"Above 65")</f>
        <v>Above 65</v>
      </c>
      <c r="O67" s="6"/>
    </row>
    <row r="68" spans="1:15" x14ac:dyDescent="0.35">
      <c r="A68" t="s">
        <v>178</v>
      </c>
      <c r="B68" t="s">
        <v>179</v>
      </c>
      <c r="C68">
        <v>63</v>
      </c>
      <c r="D68" t="s">
        <v>12</v>
      </c>
      <c r="E68" s="5">
        <v>45986</v>
      </c>
      <c r="F68" s="5">
        <v>45990</v>
      </c>
      <c r="G68">
        <f t="shared" si="2"/>
        <v>4</v>
      </c>
      <c r="H68" t="s">
        <v>13</v>
      </c>
      <c r="I68" t="s">
        <v>111</v>
      </c>
      <c r="J68" s="2">
        <v>9509.74</v>
      </c>
      <c r="K68" s="6">
        <v>0.9</v>
      </c>
      <c r="L68" t="s">
        <v>15</v>
      </c>
      <c r="M68" s="3">
        <f t="shared" si="3"/>
        <v>9509.74</v>
      </c>
      <c r="N68" s="9" t="str" cm="1">
        <f t="array" ref="N68">_xlfn.IFS(C68&lt;18,"Under 18",C68&lt;36,"18-35",C68&lt;51,"36-50",C68&lt;66,"51-65",C68&gt;=66,"Above 65")</f>
        <v>51-65</v>
      </c>
      <c r="O68" s="6"/>
    </row>
    <row r="69" spans="1:15" x14ac:dyDescent="0.35">
      <c r="A69" t="s">
        <v>180</v>
      </c>
      <c r="B69" t="s">
        <v>181</v>
      </c>
      <c r="C69">
        <v>60</v>
      </c>
      <c r="D69" t="s">
        <v>18</v>
      </c>
      <c r="E69" s="5">
        <v>45731</v>
      </c>
      <c r="F69" s="5">
        <v>45735</v>
      </c>
      <c r="G69">
        <f t="shared" si="2"/>
        <v>4</v>
      </c>
      <c r="H69" t="s">
        <v>70</v>
      </c>
      <c r="I69" t="s">
        <v>157</v>
      </c>
      <c r="J69" s="2">
        <v>6803.88</v>
      </c>
      <c r="K69" s="6">
        <v>0.8</v>
      </c>
      <c r="L69" t="s">
        <v>15</v>
      </c>
      <c r="M69" s="3">
        <f t="shared" si="3"/>
        <v>6803.88</v>
      </c>
      <c r="N69" s="9" t="str" cm="1">
        <f t="array" ref="N69">_xlfn.IFS(C69&lt;18,"Under 18",C69&lt;36,"18-35",C69&lt;51,"36-50",C69&lt;66,"51-65",C69&gt;=66,"Above 65")</f>
        <v>51-65</v>
      </c>
      <c r="O69" s="6"/>
    </row>
    <row r="70" spans="1:15" x14ac:dyDescent="0.35">
      <c r="A70" t="s">
        <v>182</v>
      </c>
      <c r="B70" t="s">
        <v>183</v>
      </c>
      <c r="C70">
        <v>67</v>
      </c>
      <c r="D70" t="s">
        <v>18</v>
      </c>
      <c r="E70" s="5">
        <v>45436</v>
      </c>
      <c r="F70" s="5">
        <v>45447</v>
      </c>
      <c r="G70">
        <f t="shared" si="2"/>
        <v>11</v>
      </c>
      <c r="H70" t="s">
        <v>60</v>
      </c>
      <c r="I70" t="s">
        <v>74</v>
      </c>
      <c r="J70" s="2">
        <v>23530.58</v>
      </c>
      <c r="K70" s="6">
        <v>0.8</v>
      </c>
      <c r="L70" t="s">
        <v>25</v>
      </c>
      <c r="M70" s="3">
        <f t="shared" si="3"/>
        <v>0</v>
      </c>
      <c r="N70" s="9" t="str" cm="1">
        <f t="array" ref="N70">_xlfn.IFS(C70&lt;18,"Under 18",C70&lt;36,"18-35",C70&lt;51,"36-50",C70&lt;66,"51-65",C70&gt;=66,"Above 65")</f>
        <v>Above 65</v>
      </c>
      <c r="O70" s="6"/>
    </row>
    <row r="71" spans="1:15" x14ac:dyDescent="0.35">
      <c r="A71" t="s">
        <v>184</v>
      </c>
      <c r="B71" t="s">
        <v>185</v>
      </c>
      <c r="C71">
        <v>83</v>
      </c>
      <c r="D71" t="s">
        <v>12</v>
      </c>
      <c r="E71" s="5">
        <v>45752</v>
      </c>
      <c r="F71" s="5">
        <v>45753</v>
      </c>
      <c r="G71">
        <f t="shared" si="2"/>
        <v>1</v>
      </c>
      <c r="H71" t="s">
        <v>23</v>
      </c>
      <c r="I71" t="s">
        <v>41</v>
      </c>
      <c r="J71" s="2">
        <v>1108.28</v>
      </c>
      <c r="K71" s="6">
        <v>0.5</v>
      </c>
      <c r="L71" t="s">
        <v>15</v>
      </c>
      <c r="M71" s="3">
        <f t="shared" si="3"/>
        <v>1108.28</v>
      </c>
      <c r="N71" s="9" t="str" cm="1">
        <f t="array" ref="N71">_xlfn.IFS(C71&lt;18,"Under 18",C71&lt;36,"18-35",C71&lt;51,"36-50",C71&lt;66,"51-65",C71&gt;=66,"Above 65")</f>
        <v>Above 65</v>
      </c>
      <c r="O71" s="6"/>
    </row>
    <row r="72" spans="1:15" x14ac:dyDescent="0.35">
      <c r="A72" t="s">
        <v>186</v>
      </c>
      <c r="B72" t="s">
        <v>187</v>
      </c>
      <c r="C72">
        <v>69</v>
      </c>
      <c r="D72" t="s">
        <v>12</v>
      </c>
      <c r="E72" s="5">
        <v>46013</v>
      </c>
      <c r="F72" s="5">
        <v>46020</v>
      </c>
      <c r="G72">
        <f t="shared" si="2"/>
        <v>7</v>
      </c>
      <c r="H72" t="s">
        <v>13</v>
      </c>
      <c r="I72" t="s">
        <v>38</v>
      </c>
      <c r="J72" s="2">
        <v>15858.97</v>
      </c>
      <c r="K72" s="6">
        <v>0.8</v>
      </c>
      <c r="L72" t="s">
        <v>15</v>
      </c>
      <c r="M72" s="3">
        <f t="shared" si="3"/>
        <v>15858.97</v>
      </c>
      <c r="N72" s="9" t="str" cm="1">
        <f t="array" ref="N72">_xlfn.IFS(C72&lt;18,"Under 18",C72&lt;36,"18-35",C72&lt;51,"36-50",C72&lt;66,"51-65",C72&gt;=66,"Above 65")</f>
        <v>Above 65</v>
      </c>
      <c r="O72" s="6"/>
    </row>
    <row r="73" spans="1:15" x14ac:dyDescent="0.35">
      <c r="A73" t="s">
        <v>188</v>
      </c>
      <c r="B73" t="s">
        <v>189</v>
      </c>
      <c r="C73">
        <v>66</v>
      </c>
      <c r="D73" t="s">
        <v>12</v>
      </c>
      <c r="E73" s="5">
        <v>45676</v>
      </c>
      <c r="F73" s="5">
        <v>45690</v>
      </c>
      <c r="G73">
        <f t="shared" si="2"/>
        <v>14</v>
      </c>
      <c r="H73" t="s">
        <v>60</v>
      </c>
      <c r="I73" t="s">
        <v>97</v>
      </c>
      <c r="J73" s="2">
        <v>24022.14</v>
      </c>
      <c r="K73" s="6">
        <v>0.8</v>
      </c>
      <c r="L73" t="s">
        <v>25</v>
      </c>
      <c r="M73" s="3">
        <f t="shared" si="3"/>
        <v>0</v>
      </c>
      <c r="N73" s="9" t="str" cm="1">
        <f t="array" ref="N73">_xlfn.IFS(C73&lt;18,"Under 18",C73&lt;36,"18-35",C73&lt;51,"36-50",C73&lt;66,"51-65",C73&gt;=66,"Above 65")</f>
        <v>Above 65</v>
      </c>
      <c r="O73" s="6"/>
    </row>
    <row r="74" spans="1:15" x14ac:dyDescent="0.35">
      <c r="A74" t="s">
        <v>190</v>
      </c>
      <c r="B74" t="s">
        <v>191</v>
      </c>
      <c r="C74">
        <v>29</v>
      </c>
      <c r="D74" t="s">
        <v>18</v>
      </c>
      <c r="E74" s="5">
        <v>45586</v>
      </c>
      <c r="F74" s="5">
        <v>45598</v>
      </c>
      <c r="G74">
        <f t="shared" si="2"/>
        <v>12</v>
      </c>
      <c r="H74" t="s">
        <v>60</v>
      </c>
      <c r="I74" t="s">
        <v>97</v>
      </c>
      <c r="J74" s="2">
        <v>13601.98</v>
      </c>
      <c r="K74" s="6">
        <v>0.8</v>
      </c>
      <c r="L74" t="s">
        <v>20</v>
      </c>
      <c r="M74" s="3">
        <f t="shared" si="3"/>
        <v>0</v>
      </c>
      <c r="N74" s="9" t="str" cm="1">
        <f t="array" ref="N74">_xlfn.IFS(C74&lt;18,"Under 18",C74&lt;36,"18-35",C74&lt;51,"36-50",C74&lt;66,"51-65",C74&gt;=66,"Above 65")</f>
        <v>18-35</v>
      </c>
      <c r="O74" s="6"/>
    </row>
    <row r="75" spans="1:15" x14ac:dyDescent="0.35">
      <c r="A75" t="s">
        <v>192</v>
      </c>
      <c r="B75" t="s">
        <v>193</v>
      </c>
      <c r="C75">
        <v>48</v>
      </c>
      <c r="D75" t="s">
        <v>12</v>
      </c>
      <c r="E75" s="5">
        <v>45405</v>
      </c>
      <c r="F75" s="5">
        <v>45414</v>
      </c>
      <c r="G75">
        <f t="shared" si="2"/>
        <v>9</v>
      </c>
      <c r="H75" t="s">
        <v>70</v>
      </c>
      <c r="I75" t="s">
        <v>194</v>
      </c>
      <c r="J75" s="2">
        <v>11054.91</v>
      </c>
      <c r="K75" s="6">
        <v>0.8</v>
      </c>
      <c r="L75" t="s">
        <v>15</v>
      </c>
      <c r="M75" s="3">
        <f t="shared" si="3"/>
        <v>11054.91</v>
      </c>
      <c r="N75" s="9" t="str" cm="1">
        <f t="array" ref="N75">_xlfn.IFS(C75&lt;18,"Under 18",C75&lt;36,"18-35",C75&lt;51,"36-50",C75&lt;66,"51-65",C75&gt;=66,"Above 65")</f>
        <v>36-50</v>
      </c>
      <c r="O75" s="6"/>
    </row>
    <row r="76" spans="1:15" x14ac:dyDescent="0.35">
      <c r="A76" t="s">
        <v>195</v>
      </c>
      <c r="B76" t="s">
        <v>196</v>
      </c>
      <c r="C76">
        <v>71</v>
      </c>
      <c r="D76" t="s">
        <v>12</v>
      </c>
      <c r="E76" s="5">
        <v>45986</v>
      </c>
      <c r="F76" s="5">
        <v>45989</v>
      </c>
      <c r="G76">
        <f t="shared" si="2"/>
        <v>3</v>
      </c>
      <c r="H76" t="s">
        <v>23</v>
      </c>
      <c r="I76" t="s">
        <v>24</v>
      </c>
      <c r="J76" s="2">
        <v>4292.29</v>
      </c>
      <c r="K76" s="6">
        <v>0.7</v>
      </c>
      <c r="L76" t="s">
        <v>15</v>
      </c>
      <c r="M76" s="3">
        <f t="shared" si="3"/>
        <v>4292.29</v>
      </c>
      <c r="N76" s="9" t="str" cm="1">
        <f t="array" ref="N76">_xlfn.IFS(C76&lt;18,"Under 18",C76&lt;36,"18-35",C76&lt;51,"36-50",C76&lt;66,"51-65",C76&gt;=66,"Above 65")</f>
        <v>Above 65</v>
      </c>
      <c r="O76" s="6"/>
    </row>
    <row r="77" spans="1:15" x14ac:dyDescent="0.35">
      <c r="A77" t="s">
        <v>197</v>
      </c>
      <c r="B77" t="s">
        <v>198</v>
      </c>
      <c r="C77">
        <v>58</v>
      </c>
      <c r="D77" t="s">
        <v>18</v>
      </c>
      <c r="E77" s="5">
        <v>45969</v>
      </c>
      <c r="F77" s="5">
        <v>45978</v>
      </c>
      <c r="G77">
        <f t="shared" si="2"/>
        <v>9</v>
      </c>
      <c r="H77" t="s">
        <v>13</v>
      </c>
      <c r="I77" t="s">
        <v>165</v>
      </c>
      <c r="J77" s="2">
        <v>15148.04</v>
      </c>
      <c r="K77" s="6">
        <v>1</v>
      </c>
      <c r="L77" t="s">
        <v>15</v>
      </c>
      <c r="M77" s="3">
        <f t="shared" si="3"/>
        <v>15148.04</v>
      </c>
      <c r="N77" s="9" t="str" cm="1">
        <f t="array" ref="N77">_xlfn.IFS(C77&lt;18,"Under 18",C77&lt;36,"18-35",C77&lt;51,"36-50",C77&lt;66,"51-65",C77&gt;=66,"Above 65")</f>
        <v>51-65</v>
      </c>
      <c r="O77" s="6"/>
    </row>
    <row r="78" spans="1:15" x14ac:dyDescent="0.35">
      <c r="A78" t="s">
        <v>199</v>
      </c>
      <c r="B78" t="s">
        <v>200</v>
      </c>
      <c r="C78">
        <v>31</v>
      </c>
      <c r="D78" t="s">
        <v>18</v>
      </c>
      <c r="E78" s="5">
        <v>45748</v>
      </c>
      <c r="F78" s="5">
        <v>45755</v>
      </c>
      <c r="G78">
        <f t="shared" si="2"/>
        <v>7</v>
      </c>
      <c r="H78" t="s">
        <v>70</v>
      </c>
      <c r="I78" t="s">
        <v>157</v>
      </c>
      <c r="J78" s="2">
        <v>12486.34</v>
      </c>
      <c r="K78" s="6">
        <v>0.6</v>
      </c>
      <c r="L78" t="s">
        <v>20</v>
      </c>
      <c r="M78" s="3">
        <f t="shared" si="3"/>
        <v>0</v>
      </c>
      <c r="N78" s="9" t="str" cm="1">
        <f t="array" ref="N78">_xlfn.IFS(C78&lt;18,"Under 18",C78&lt;36,"18-35",C78&lt;51,"36-50",C78&lt;66,"51-65",C78&gt;=66,"Above 65")</f>
        <v>18-35</v>
      </c>
      <c r="O78" s="6"/>
    </row>
    <row r="79" spans="1:15" x14ac:dyDescent="0.35">
      <c r="A79" t="s">
        <v>201</v>
      </c>
      <c r="B79" t="s">
        <v>116</v>
      </c>
      <c r="C79">
        <v>6</v>
      </c>
      <c r="D79" t="s">
        <v>18</v>
      </c>
      <c r="E79" s="5">
        <v>45986</v>
      </c>
      <c r="F79" s="5">
        <v>45991</v>
      </c>
      <c r="G79">
        <f t="shared" si="2"/>
        <v>5</v>
      </c>
      <c r="H79" t="s">
        <v>49</v>
      </c>
      <c r="I79" t="s">
        <v>123</v>
      </c>
      <c r="J79" s="2">
        <v>6755.47</v>
      </c>
      <c r="K79" s="6">
        <v>0.9</v>
      </c>
      <c r="L79" t="s">
        <v>15</v>
      </c>
      <c r="M79" s="3">
        <f t="shared" si="3"/>
        <v>6755.47</v>
      </c>
      <c r="N79" s="9" t="str" cm="1">
        <f t="array" ref="N79">_xlfn.IFS(C79&lt;18,"Under 18",C79&lt;36,"18-35",C79&lt;51,"36-50",C79&lt;66,"51-65",C79&gt;=66,"Above 65")</f>
        <v>Under 18</v>
      </c>
      <c r="O79" s="6"/>
    </row>
    <row r="80" spans="1:15" x14ac:dyDescent="0.35">
      <c r="A80" t="s">
        <v>202</v>
      </c>
      <c r="B80" t="s">
        <v>203</v>
      </c>
      <c r="C80">
        <v>54</v>
      </c>
      <c r="D80" t="s">
        <v>18</v>
      </c>
      <c r="E80" s="5">
        <v>45903</v>
      </c>
      <c r="F80" s="5">
        <v>45905</v>
      </c>
      <c r="G80">
        <f t="shared" si="2"/>
        <v>2</v>
      </c>
      <c r="H80" t="s">
        <v>23</v>
      </c>
      <c r="I80" t="s">
        <v>204</v>
      </c>
      <c r="J80" s="2">
        <v>2919.13</v>
      </c>
      <c r="K80" s="6">
        <v>1</v>
      </c>
      <c r="L80" t="s">
        <v>15</v>
      </c>
      <c r="M80" s="3">
        <f t="shared" si="3"/>
        <v>2919.13</v>
      </c>
      <c r="N80" s="9" t="str" cm="1">
        <f t="array" ref="N80">_xlfn.IFS(C80&lt;18,"Under 18",C80&lt;36,"18-35",C80&lt;51,"36-50",C80&lt;66,"51-65",C80&gt;=66,"Above 65")</f>
        <v>51-65</v>
      </c>
      <c r="O80" s="6"/>
    </row>
    <row r="81" spans="1:15" x14ac:dyDescent="0.35">
      <c r="A81" t="s">
        <v>205</v>
      </c>
      <c r="B81" t="s">
        <v>206</v>
      </c>
      <c r="C81">
        <v>40</v>
      </c>
      <c r="D81" t="s">
        <v>18</v>
      </c>
      <c r="E81" s="5">
        <v>45843</v>
      </c>
      <c r="F81" s="5">
        <v>45857</v>
      </c>
      <c r="G81">
        <f t="shared" si="2"/>
        <v>14</v>
      </c>
      <c r="H81" t="s">
        <v>60</v>
      </c>
      <c r="I81" t="s">
        <v>74</v>
      </c>
      <c r="J81" s="2">
        <v>30241.53</v>
      </c>
      <c r="K81" s="6">
        <v>1</v>
      </c>
      <c r="L81" t="s">
        <v>15</v>
      </c>
      <c r="M81" s="3">
        <f t="shared" si="3"/>
        <v>30241.53</v>
      </c>
      <c r="N81" s="9" t="str" cm="1">
        <f t="array" ref="N81">_xlfn.IFS(C81&lt;18,"Under 18",C81&lt;36,"18-35",C81&lt;51,"36-50",C81&lt;66,"51-65",C81&gt;=66,"Above 65")</f>
        <v>36-50</v>
      </c>
      <c r="O81" s="6"/>
    </row>
    <row r="82" spans="1:15" x14ac:dyDescent="0.35">
      <c r="A82" t="s">
        <v>207</v>
      </c>
      <c r="B82" t="s">
        <v>208</v>
      </c>
      <c r="C82">
        <v>70</v>
      </c>
      <c r="D82" t="s">
        <v>18</v>
      </c>
      <c r="E82" s="5">
        <v>45483</v>
      </c>
      <c r="F82" s="5">
        <v>45490</v>
      </c>
      <c r="G82">
        <f t="shared" si="2"/>
        <v>7</v>
      </c>
      <c r="H82" t="s">
        <v>13</v>
      </c>
      <c r="I82" t="s">
        <v>111</v>
      </c>
      <c r="J82" s="2">
        <v>12489.15</v>
      </c>
      <c r="K82" s="6">
        <v>0</v>
      </c>
      <c r="L82" t="s">
        <v>20</v>
      </c>
      <c r="M82" s="3">
        <f t="shared" si="3"/>
        <v>0</v>
      </c>
      <c r="N82" s="9" t="str" cm="1">
        <f t="array" ref="N82">_xlfn.IFS(C82&lt;18,"Under 18",C82&lt;36,"18-35",C82&lt;51,"36-50",C82&lt;66,"51-65",C82&gt;=66,"Above 65")</f>
        <v>Above 65</v>
      </c>
      <c r="O82" s="6"/>
    </row>
    <row r="83" spans="1:15" x14ac:dyDescent="0.35">
      <c r="A83" t="s">
        <v>209</v>
      </c>
      <c r="B83" t="s">
        <v>210</v>
      </c>
      <c r="C83">
        <v>34</v>
      </c>
      <c r="D83" t="s">
        <v>18</v>
      </c>
      <c r="E83" s="5">
        <v>45323</v>
      </c>
      <c r="F83" s="5">
        <v>45329</v>
      </c>
      <c r="G83">
        <f t="shared" si="2"/>
        <v>6</v>
      </c>
      <c r="H83" t="s">
        <v>60</v>
      </c>
      <c r="I83" t="s">
        <v>133</v>
      </c>
      <c r="J83" s="2">
        <v>12813.71</v>
      </c>
      <c r="K83" s="6">
        <v>0.7</v>
      </c>
      <c r="L83" t="s">
        <v>15</v>
      </c>
      <c r="M83" s="3">
        <f t="shared" si="3"/>
        <v>12813.71</v>
      </c>
      <c r="N83" s="9" t="str" cm="1">
        <f t="array" ref="N83">_xlfn.IFS(C83&lt;18,"Under 18",C83&lt;36,"18-35",C83&lt;51,"36-50",C83&lt;66,"51-65",C83&gt;=66,"Above 65")</f>
        <v>18-35</v>
      </c>
      <c r="O83" s="6"/>
    </row>
    <row r="84" spans="1:15" x14ac:dyDescent="0.35">
      <c r="A84" t="s">
        <v>211</v>
      </c>
      <c r="B84" t="s">
        <v>212</v>
      </c>
      <c r="C84">
        <v>62</v>
      </c>
      <c r="D84" t="s">
        <v>18</v>
      </c>
      <c r="E84" s="5">
        <v>45408</v>
      </c>
      <c r="F84" s="5">
        <v>45413</v>
      </c>
      <c r="G84">
        <f t="shared" si="2"/>
        <v>5</v>
      </c>
      <c r="H84" t="s">
        <v>60</v>
      </c>
      <c r="I84" t="s">
        <v>133</v>
      </c>
      <c r="J84" s="2">
        <v>13205.04</v>
      </c>
      <c r="K84" s="6">
        <v>0.7</v>
      </c>
      <c r="L84" t="s">
        <v>15</v>
      </c>
      <c r="M84" s="3">
        <f t="shared" si="3"/>
        <v>13205.04</v>
      </c>
      <c r="N84" s="9" t="str" cm="1">
        <f t="array" ref="N84">_xlfn.IFS(C84&lt;18,"Under 18",C84&lt;36,"18-35",C84&lt;51,"36-50",C84&lt;66,"51-65",C84&gt;=66,"Above 65")</f>
        <v>51-65</v>
      </c>
      <c r="O84" s="6"/>
    </row>
    <row r="85" spans="1:15" x14ac:dyDescent="0.35">
      <c r="A85" t="s">
        <v>213</v>
      </c>
      <c r="B85" t="s">
        <v>214</v>
      </c>
      <c r="C85">
        <v>83</v>
      </c>
      <c r="D85" t="s">
        <v>12</v>
      </c>
      <c r="E85" s="5">
        <v>46013</v>
      </c>
      <c r="F85" s="5">
        <v>46020</v>
      </c>
      <c r="G85">
        <f t="shared" si="2"/>
        <v>7</v>
      </c>
      <c r="H85" t="s">
        <v>31</v>
      </c>
      <c r="I85" t="s">
        <v>32</v>
      </c>
      <c r="J85" s="2">
        <v>3620.28</v>
      </c>
      <c r="K85" s="6">
        <v>0.8</v>
      </c>
      <c r="L85" t="s">
        <v>15</v>
      </c>
      <c r="M85" s="3">
        <f t="shared" si="3"/>
        <v>3620.28</v>
      </c>
      <c r="N85" s="9" t="str" cm="1">
        <f t="array" ref="N85">_xlfn.IFS(C85&lt;18,"Under 18",C85&lt;36,"18-35",C85&lt;51,"36-50",C85&lt;66,"51-65",C85&gt;=66,"Above 65")</f>
        <v>Above 65</v>
      </c>
      <c r="O85" s="6"/>
    </row>
    <row r="86" spans="1:15" x14ac:dyDescent="0.35">
      <c r="A86" t="s">
        <v>215</v>
      </c>
      <c r="B86" t="s">
        <v>216</v>
      </c>
      <c r="C86">
        <v>76</v>
      </c>
      <c r="D86" t="s">
        <v>18</v>
      </c>
      <c r="E86" s="5">
        <v>45524</v>
      </c>
      <c r="F86" s="5">
        <v>45531</v>
      </c>
      <c r="G86">
        <f t="shared" si="2"/>
        <v>7</v>
      </c>
      <c r="H86" t="s">
        <v>31</v>
      </c>
      <c r="I86" t="s">
        <v>44</v>
      </c>
      <c r="J86" s="2">
        <v>7803.54</v>
      </c>
      <c r="K86" s="6">
        <v>0.7</v>
      </c>
      <c r="L86" t="s">
        <v>20</v>
      </c>
      <c r="M86" s="3">
        <f t="shared" si="3"/>
        <v>0</v>
      </c>
      <c r="N86" s="9" t="str" cm="1">
        <f t="array" ref="N86">_xlfn.IFS(C86&lt;18,"Under 18",C86&lt;36,"18-35",C86&lt;51,"36-50",C86&lt;66,"51-65",C86&gt;=66,"Above 65")</f>
        <v>Above 65</v>
      </c>
      <c r="O86" s="6"/>
    </row>
    <row r="87" spans="1:15" x14ac:dyDescent="0.35">
      <c r="A87" t="s">
        <v>217</v>
      </c>
      <c r="B87" t="s">
        <v>218</v>
      </c>
      <c r="C87">
        <v>50</v>
      </c>
      <c r="D87" t="s">
        <v>18</v>
      </c>
      <c r="E87" s="5">
        <v>45659</v>
      </c>
      <c r="F87" s="5">
        <v>45667</v>
      </c>
      <c r="G87">
        <f t="shared" si="2"/>
        <v>8</v>
      </c>
      <c r="H87" t="s">
        <v>70</v>
      </c>
      <c r="I87" t="s">
        <v>71</v>
      </c>
      <c r="J87" s="2">
        <v>12412.35</v>
      </c>
      <c r="K87" s="6">
        <v>0.9</v>
      </c>
      <c r="L87" t="s">
        <v>25</v>
      </c>
      <c r="M87" s="3">
        <f t="shared" si="3"/>
        <v>0</v>
      </c>
      <c r="N87" s="9" t="str" cm="1">
        <f t="array" ref="N87">_xlfn.IFS(C87&lt;18,"Under 18",C87&lt;36,"18-35",C87&lt;51,"36-50",C87&lt;66,"51-65",C87&gt;=66,"Above 65")</f>
        <v>36-50</v>
      </c>
      <c r="O87" s="6"/>
    </row>
    <row r="88" spans="1:15" x14ac:dyDescent="0.35">
      <c r="A88" t="s">
        <v>219</v>
      </c>
      <c r="B88" t="s">
        <v>220</v>
      </c>
      <c r="C88">
        <v>39</v>
      </c>
      <c r="D88" t="s">
        <v>18</v>
      </c>
      <c r="E88" s="5">
        <v>45989</v>
      </c>
      <c r="F88" s="5">
        <v>45991</v>
      </c>
      <c r="G88">
        <f t="shared" si="2"/>
        <v>2</v>
      </c>
      <c r="H88" t="s">
        <v>23</v>
      </c>
      <c r="I88" t="s">
        <v>221</v>
      </c>
      <c r="J88" s="2">
        <v>2598.06</v>
      </c>
      <c r="K88" s="6">
        <v>0.8</v>
      </c>
      <c r="L88" t="s">
        <v>15</v>
      </c>
      <c r="M88" s="3">
        <f t="shared" si="3"/>
        <v>2598.06</v>
      </c>
      <c r="N88" s="9" t="str" cm="1">
        <f t="array" ref="N88">_xlfn.IFS(C88&lt;18,"Under 18",C88&lt;36,"18-35",C88&lt;51,"36-50",C88&lt;66,"51-65",C88&gt;=66,"Above 65")</f>
        <v>36-50</v>
      </c>
      <c r="O88" s="6"/>
    </row>
    <row r="89" spans="1:15" x14ac:dyDescent="0.35">
      <c r="A89" t="s">
        <v>222</v>
      </c>
      <c r="B89" t="s">
        <v>223</v>
      </c>
      <c r="C89">
        <v>68</v>
      </c>
      <c r="D89" t="s">
        <v>12</v>
      </c>
      <c r="E89" s="5">
        <v>45720</v>
      </c>
      <c r="F89" s="5">
        <v>45727</v>
      </c>
      <c r="G89">
        <f t="shared" si="2"/>
        <v>7</v>
      </c>
      <c r="H89" t="s">
        <v>31</v>
      </c>
      <c r="I89" t="s">
        <v>114</v>
      </c>
      <c r="J89" s="2">
        <v>9165.89</v>
      </c>
      <c r="K89" s="6">
        <v>0.7</v>
      </c>
      <c r="L89" t="s">
        <v>15</v>
      </c>
      <c r="M89" s="3">
        <f t="shared" si="3"/>
        <v>9165.89</v>
      </c>
      <c r="N89" s="9" t="str" cm="1">
        <f t="array" ref="N89">_xlfn.IFS(C89&lt;18,"Under 18",C89&lt;36,"18-35",C89&lt;51,"36-50",C89&lt;66,"51-65",C89&gt;=66,"Above 65")</f>
        <v>Above 65</v>
      </c>
      <c r="O89" s="6"/>
    </row>
    <row r="90" spans="1:15" x14ac:dyDescent="0.35">
      <c r="A90" t="s">
        <v>224</v>
      </c>
      <c r="B90" t="s">
        <v>225</v>
      </c>
      <c r="C90">
        <v>55</v>
      </c>
      <c r="D90" t="s">
        <v>18</v>
      </c>
      <c r="E90" s="5">
        <v>45874</v>
      </c>
      <c r="F90" s="5">
        <v>45876</v>
      </c>
      <c r="G90">
        <f t="shared" si="2"/>
        <v>2</v>
      </c>
      <c r="H90" t="s">
        <v>23</v>
      </c>
      <c r="I90" t="s">
        <v>24</v>
      </c>
      <c r="J90" s="2">
        <v>2783.91</v>
      </c>
      <c r="K90" s="6">
        <v>0.7</v>
      </c>
      <c r="L90" t="s">
        <v>15</v>
      </c>
      <c r="M90" s="3">
        <f t="shared" si="3"/>
        <v>2783.91</v>
      </c>
      <c r="N90" s="9" t="str" cm="1">
        <f t="array" ref="N90">_xlfn.IFS(C90&lt;18,"Under 18",C90&lt;36,"18-35",C90&lt;51,"36-50",C90&lt;66,"51-65",C90&gt;=66,"Above 65")</f>
        <v>51-65</v>
      </c>
      <c r="O90" s="6"/>
    </row>
    <row r="91" spans="1:15" x14ac:dyDescent="0.35">
      <c r="A91" t="s">
        <v>226</v>
      </c>
      <c r="B91" t="s">
        <v>227</v>
      </c>
      <c r="C91">
        <v>71</v>
      </c>
      <c r="D91" t="s">
        <v>18</v>
      </c>
      <c r="E91" s="5">
        <v>45679</v>
      </c>
      <c r="F91" s="5">
        <v>45688</v>
      </c>
      <c r="G91">
        <f t="shared" si="2"/>
        <v>9</v>
      </c>
      <c r="H91" t="s">
        <v>13</v>
      </c>
      <c r="I91" t="s">
        <v>19</v>
      </c>
      <c r="J91" s="2">
        <v>23939.75</v>
      </c>
      <c r="K91" s="6">
        <v>0.6</v>
      </c>
      <c r="L91" t="s">
        <v>15</v>
      </c>
      <c r="M91" s="3">
        <f t="shared" si="3"/>
        <v>23939.75</v>
      </c>
      <c r="N91" s="9" t="str" cm="1">
        <f t="array" ref="N91">_xlfn.IFS(C91&lt;18,"Under 18",C91&lt;36,"18-35",C91&lt;51,"36-50",C91&lt;66,"51-65",C91&gt;=66,"Above 65")</f>
        <v>Above 65</v>
      </c>
      <c r="O91" s="6"/>
    </row>
    <row r="92" spans="1:15" x14ac:dyDescent="0.35">
      <c r="A92" t="s">
        <v>228</v>
      </c>
      <c r="B92" t="s">
        <v>229</v>
      </c>
      <c r="C92">
        <v>55</v>
      </c>
      <c r="D92" t="s">
        <v>18</v>
      </c>
      <c r="E92" s="5">
        <v>45778</v>
      </c>
      <c r="F92" s="5">
        <v>45786</v>
      </c>
      <c r="G92">
        <f t="shared" si="2"/>
        <v>8</v>
      </c>
      <c r="H92" t="s">
        <v>70</v>
      </c>
      <c r="I92" t="s">
        <v>157</v>
      </c>
      <c r="J92" s="2">
        <v>19244.54</v>
      </c>
      <c r="K92" s="6">
        <v>0.8</v>
      </c>
      <c r="L92" t="s">
        <v>15</v>
      </c>
      <c r="M92" s="3">
        <f t="shared" si="3"/>
        <v>19244.54</v>
      </c>
      <c r="N92" s="9" t="str" cm="1">
        <f t="array" ref="N92">_xlfn.IFS(C92&lt;18,"Under 18",C92&lt;36,"18-35",C92&lt;51,"36-50",C92&lt;66,"51-65",C92&gt;=66,"Above 65")</f>
        <v>51-65</v>
      </c>
      <c r="O92" s="6"/>
    </row>
    <row r="93" spans="1:15" x14ac:dyDescent="0.35">
      <c r="A93" t="s">
        <v>230</v>
      </c>
      <c r="B93" t="s">
        <v>231</v>
      </c>
      <c r="C93">
        <v>60</v>
      </c>
      <c r="D93" t="s">
        <v>18</v>
      </c>
      <c r="E93" s="5">
        <v>45490</v>
      </c>
      <c r="F93" s="5">
        <v>45499</v>
      </c>
      <c r="G93">
        <f t="shared" si="2"/>
        <v>9</v>
      </c>
      <c r="H93" t="s">
        <v>13</v>
      </c>
      <c r="I93" t="s">
        <v>14</v>
      </c>
      <c r="J93" s="2">
        <v>17194.91</v>
      </c>
      <c r="K93" s="6">
        <v>0.9</v>
      </c>
      <c r="L93" t="s">
        <v>15</v>
      </c>
      <c r="M93" s="3">
        <f t="shared" si="3"/>
        <v>17194.91</v>
      </c>
      <c r="N93" s="9" t="str" cm="1">
        <f t="array" ref="N93">_xlfn.IFS(C93&lt;18,"Under 18",C93&lt;36,"18-35",C93&lt;51,"36-50",C93&lt;66,"51-65",C93&gt;=66,"Above 65")</f>
        <v>51-65</v>
      </c>
      <c r="O93" s="6"/>
    </row>
    <row r="94" spans="1:15" x14ac:dyDescent="0.35">
      <c r="A94" t="s">
        <v>232</v>
      </c>
      <c r="B94" t="s">
        <v>233</v>
      </c>
      <c r="C94">
        <v>62</v>
      </c>
      <c r="D94" t="s">
        <v>12</v>
      </c>
      <c r="E94" s="5">
        <v>45530</v>
      </c>
      <c r="F94" s="5">
        <v>45533</v>
      </c>
      <c r="G94">
        <f t="shared" si="2"/>
        <v>3</v>
      </c>
      <c r="H94" t="s">
        <v>31</v>
      </c>
      <c r="I94" t="s">
        <v>234</v>
      </c>
      <c r="J94" s="2">
        <v>3707.77</v>
      </c>
      <c r="K94" s="6">
        <v>0.8</v>
      </c>
      <c r="L94" t="s">
        <v>15</v>
      </c>
      <c r="M94" s="3">
        <f t="shared" si="3"/>
        <v>3707.77</v>
      </c>
      <c r="N94" s="9" t="str" cm="1">
        <f t="array" ref="N94">_xlfn.IFS(C94&lt;18,"Under 18",C94&lt;36,"18-35",C94&lt;51,"36-50",C94&lt;66,"51-65",C94&gt;=66,"Above 65")</f>
        <v>51-65</v>
      </c>
      <c r="O94" s="6"/>
    </row>
    <row r="95" spans="1:15" x14ac:dyDescent="0.35">
      <c r="A95" t="s">
        <v>235</v>
      </c>
      <c r="B95" t="s">
        <v>236</v>
      </c>
      <c r="C95">
        <v>62</v>
      </c>
      <c r="D95" t="s">
        <v>18</v>
      </c>
      <c r="E95" s="5">
        <v>45895</v>
      </c>
      <c r="F95" s="5">
        <v>45901</v>
      </c>
      <c r="G95">
        <f t="shared" si="2"/>
        <v>6</v>
      </c>
      <c r="H95" t="s">
        <v>70</v>
      </c>
      <c r="I95" t="s">
        <v>237</v>
      </c>
      <c r="J95" s="2">
        <v>11445.42</v>
      </c>
      <c r="K95" s="6">
        <v>0.8</v>
      </c>
      <c r="L95" t="s">
        <v>20</v>
      </c>
      <c r="M95" s="3">
        <f t="shared" si="3"/>
        <v>0</v>
      </c>
      <c r="N95" s="9" t="str" cm="1">
        <f t="array" ref="N95">_xlfn.IFS(C95&lt;18,"Under 18",C95&lt;36,"18-35",C95&lt;51,"36-50",C95&lt;66,"51-65",C95&gt;=66,"Above 65")</f>
        <v>51-65</v>
      </c>
      <c r="O95" s="6"/>
    </row>
    <row r="96" spans="1:15" x14ac:dyDescent="0.35">
      <c r="A96" t="s">
        <v>238</v>
      </c>
      <c r="B96" t="s">
        <v>239</v>
      </c>
      <c r="C96">
        <v>52</v>
      </c>
      <c r="D96" t="s">
        <v>12</v>
      </c>
      <c r="E96" s="5">
        <v>45775</v>
      </c>
      <c r="F96" s="5">
        <v>45777</v>
      </c>
      <c r="G96">
        <f t="shared" si="2"/>
        <v>2</v>
      </c>
      <c r="H96" t="s">
        <v>31</v>
      </c>
      <c r="I96" t="s">
        <v>32</v>
      </c>
      <c r="J96" s="2">
        <v>1587.61</v>
      </c>
      <c r="K96" s="6">
        <v>0.9</v>
      </c>
      <c r="L96" t="s">
        <v>20</v>
      </c>
      <c r="M96" s="3">
        <f t="shared" si="3"/>
        <v>0</v>
      </c>
      <c r="N96" s="9" t="str" cm="1">
        <f t="array" ref="N96">_xlfn.IFS(C96&lt;18,"Under 18",C96&lt;36,"18-35",C96&lt;51,"36-50",C96&lt;66,"51-65",C96&gt;=66,"Above 65")</f>
        <v>51-65</v>
      </c>
      <c r="O96" s="6"/>
    </row>
    <row r="97" spans="1:15" x14ac:dyDescent="0.35">
      <c r="A97" t="s">
        <v>240</v>
      </c>
      <c r="B97" t="s">
        <v>241</v>
      </c>
      <c r="C97">
        <v>32</v>
      </c>
      <c r="D97" t="s">
        <v>12</v>
      </c>
      <c r="E97" s="5">
        <v>45589</v>
      </c>
      <c r="F97" s="5">
        <v>45591</v>
      </c>
      <c r="G97">
        <f t="shared" si="2"/>
        <v>2</v>
      </c>
      <c r="H97" t="s">
        <v>23</v>
      </c>
      <c r="I97" t="s">
        <v>82</v>
      </c>
      <c r="J97" s="2">
        <v>4946.29</v>
      </c>
      <c r="K97" s="6">
        <v>0.8</v>
      </c>
      <c r="L97" t="s">
        <v>15</v>
      </c>
      <c r="M97" s="3">
        <f t="shared" si="3"/>
        <v>4946.29</v>
      </c>
      <c r="N97" s="9" t="str" cm="1">
        <f t="array" ref="N97">_xlfn.IFS(C97&lt;18,"Under 18",C97&lt;36,"18-35",C97&lt;51,"36-50",C97&lt;66,"51-65",C97&gt;=66,"Above 65")</f>
        <v>18-35</v>
      </c>
      <c r="O97" s="6"/>
    </row>
    <row r="98" spans="1:15" x14ac:dyDescent="0.35">
      <c r="A98" t="s">
        <v>242</v>
      </c>
      <c r="B98" t="s">
        <v>243</v>
      </c>
      <c r="C98">
        <v>15</v>
      </c>
      <c r="D98" t="s">
        <v>12</v>
      </c>
      <c r="E98" s="5">
        <v>45594</v>
      </c>
      <c r="F98" s="5">
        <v>45597</v>
      </c>
      <c r="G98">
        <f t="shared" si="2"/>
        <v>3</v>
      </c>
      <c r="H98" t="s">
        <v>49</v>
      </c>
      <c r="I98" t="s">
        <v>123</v>
      </c>
      <c r="J98" s="2">
        <v>3757.58</v>
      </c>
      <c r="K98" s="6">
        <v>0.8</v>
      </c>
      <c r="L98" t="s">
        <v>15</v>
      </c>
      <c r="M98" s="3">
        <f t="shared" si="3"/>
        <v>3757.58</v>
      </c>
      <c r="N98" s="9" t="str" cm="1">
        <f t="array" ref="N98">_xlfn.IFS(C98&lt;18,"Under 18",C98&lt;36,"18-35",C98&lt;51,"36-50",C98&lt;66,"51-65",C98&gt;=66,"Above 65")</f>
        <v>Under 18</v>
      </c>
      <c r="O98" s="6"/>
    </row>
    <row r="99" spans="1:15" x14ac:dyDescent="0.35">
      <c r="A99" t="s">
        <v>244</v>
      </c>
      <c r="B99" t="s">
        <v>245</v>
      </c>
      <c r="C99">
        <v>61</v>
      </c>
      <c r="D99" t="s">
        <v>12</v>
      </c>
      <c r="E99" s="5">
        <v>45765</v>
      </c>
      <c r="F99" s="5">
        <v>45770</v>
      </c>
      <c r="G99">
        <f t="shared" si="2"/>
        <v>5</v>
      </c>
      <c r="H99" t="s">
        <v>13</v>
      </c>
      <c r="I99" t="s">
        <v>111</v>
      </c>
      <c r="J99" s="2">
        <v>10173.43</v>
      </c>
      <c r="K99" s="6">
        <v>0.7</v>
      </c>
      <c r="L99" t="s">
        <v>25</v>
      </c>
      <c r="M99" s="3">
        <f t="shared" si="3"/>
        <v>0</v>
      </c>
      <c r="N99" s="9" t="str" cm="1">
        <f t="array" ref="N99">_xlfn.IFS(C99&lt;18,"Under 18",C99&lt;36,"18-35",C99&lt;51,"36-50",C99&lt;66,"51-65",C99&gt;=66,"Above 65")</f>
        <v>51-65</v>
      </c>
      <c r="O99" s="6"/>
    </row>
    <row r="100" spans="1:15" x14ac:dyDescent="0.35">
      <c r="A100" t="s">
        <v>246</v>
      </c>
      <c r="B100" t="s">
        <v>247</v>
      </c>
      <c r="C100">
        <v>1</v>
      </c>
      <c r="D100" t="s">
        <v>18</v>
      </c>
      <c r="E100" s="5">
        <v>45646</v>
      </c>
      <c r="F100" s="5">
        <v>45651</v>
      </c>
      <c r="G100">
        <f t="shared" si="2"/>
        <v>5</v>
      </c>
      <c r="H100" t="s">
        <v>49</v>
      </c>
      <c r="I100" t="s">
        <v>123</v>
      </c>
      <c r="J100" s="2">
        <v>4626.03</v>
      </c>
      <c r="K100" s="6">
        <v>0.5</v>
      </c>
      <c r="L100" t="s">
        <v>20</v>
      </c>
      <c r="M100" s="3">
        <f t="shared" si="3"/>
        <v>0</v>
      </c>
      <c r="N100" s="9" t="str" cm="1">
        <f t="array" ref="N100">_xlfn.IFS(C100&lt;18,"Under 18",C100&lt;36,"18-35",C100&lt;51,"36-50",C100&lt;66,"51-65",C100&gt;=66,"Above 65")</f>
        <v>Under 18</v>
      </c>
      <c r="O100" s="6"/>
    </row>
    <row r="101" spans="1:15" x14ac:dyDescent="0.35">
      <c r="A101" t="s">
        <v>248</v>
      </c>
      <c r="B101" t="s">
        <v>161</v>
      </c>
      <c r="C101">
        <v>28</v>
      </c>
      <c r="D101" t="s">
        <v>18</v>
      </c>
      <c r="E101" s="5">
        <v>45612</v>
      </c>
      <c r="F101" s="5">
        <v>45615</v>
      </c>
      <c r="G101">
        <f t="shared" si="2"/>
        <v>3</v>
      </c>
      <c r="H101" t="s">
        <v>31</v>
      </c>
      <c r="I101" t="s">
        <v>87</v>
      </c>
      <c r="J101" s="2">
        <v>3159.6</v>
      </c>
      <c r="K101" s="6">
        <v>0.8</v>
      </c>
      <c r="L101" t="s">
        <v>15</v>
      </c>
      <c r="M101" s="3">
        <f t="shared" si="3"/>
        <v>3159.6</v>
      </c>
      <c r="N101" s="9" t="str" cm="1">
        <f t="array" ref="N101">_xlfn.IFS(C101&lt;18,"Under 18",C101&lt;36,"18-35",C101&lt;51,"36-50",C101&lt;66,"51-65",C101&gt;=66,"Above 65")</f>
        <v>18-35</v>
      </c>
      <c r="O101" s="6"/>
    </row>
    <row r="102" spans="1:15" x14ac:dyDescent="0.35">
      <c r="A102" t="s">
        <v>249</v>
      </c>
      <c r="B102" t="s">
        <v>250</v>
      </c>
      <c r="C102">
        <v>78</v>
      </c>
      <c r="D102" t="s">
        <v>12</v>
      </c>
      <c r="E102" s="5">
        <v>45326</v>
      </c>
      <c r="F102" s="5">
        <v>45329</v>
      </c>
      <c r="G102">
        <f t="shared" si="2"/>
        <v>3</v>
      </c>
      <c r="H102" t="s">
        <v>23</v>
      </c>
      <c r="I102" t="s">
        <v>41</v>
      </c>
      <c r="J102" s="2">
        <v>6630.7</v>
      </c>
      <c r="K102" s="6">
        <v>0.9</v>
      </c>
      <c r="L102" t="s">
        <v>15</v>
      </c>
      <c r="M102" s="3">
        <f t="shared" si="3"/>
        <v>6630.7</v>
      </c>
      <c r="N102" s="9" t="str" cm="1">
        <f t="array" ref="N102">_xlfn.IFS(C102&lt;18,"Under 18",C102&lt;36,"18-35",C102&lt;51,"36-50",C102&lt;66,"51-65",C102&gt;=66,"Above 65")</f>
        <v>Above 65</v>
      </c>
      <c r="O102" s="6"/>
    </row>
    <row r="103" spans="1:15" x14ac:dyDescent="0.35">
      <c r="A103" t="s">
        <v>251</v>
      </c>
      <c r="B103" t="s">
        <v>252</v>
      </c>
      <c r="C103">
        <v>51</v>
      </c>
      <c r="D103" t="s">
        <v>12</v>
      </c>
      <c r="E103" s="5">
        <v>45392</v>
      </c>
      <c r="F103" s="5">
        <v>45401</v>
      </c>
      <c r="G103">
        <f t="shared" si="2"/>
        <v>9</v>
      </c>
      <c r="H103" t="s">
        <v>70</v>
      </c>
      <c r="I103" t="s">
        <v>71</v>
      </c>
      <c r="J103" s="2">
        <v>17220.650000000001</v>
      </c>
      <c r="K103" s="6">
        <v>0.7</v>
      </c>
      <c r="L103" t="s">
        <v>25</v>
      </c>
      <c r="M103" s="3">
        <f t="shared" si="3"/>
        <v>0</v>
      </c>
      <c r="N103" s="9" t="str" cm="1">
        <f t="array" ref="N103">_xlfn.IFS(C103&lt;18,"Under 18",C103&lt;36,"18-35",C103&lt;51,"36-50",C103&lt;66,"51-65",C103&gt;=66,"Above 65")</f>
        <v>51-65</v>
      </c>
      <c r="O103" s="6"/>
    </row>
    <row r="104" spans="1:15" x14ac:dyDescent="0.35">
      <c r="A104" t="s">
        <v>253</v>
      </c>
      <c r="B104" t="s">
        <v>254</v>
      </c>
      <c r="C104">
        <v>70</v>
      </c>
      <c r="D104" t="s">
        <v>12</v>
      </c>
      <c r="E104" s="5">
        <v>45347</v>
      </c>
      <c r="F104" s="5">
        <v>45352</v>
      </c>
      <c r="G104">
        <f t="shared" si="2"/>
        <v>5</v>
      </c>
      <c r="H104" t="s">
        <v>60</v>
      </c>
      <c r="I104" t="s">
        <v>97</v>
      </c>
      <c r="J104" s="2">
        <v>13557.6</v>
      </c>
      <c r="K104" s="6">
        <v>0.9</v>
      </c>
      <c r="L104" t="s">
        <v>15</v>
      </c>
      <c r="M104" s="3">
        <f t="shared" si="3"/>
        <v>13557.6</v>
      </c>
      <c r="N104" s="9" t="str" cm="1">
        <f t="array" ref="N104">_xlfn.IFS(C104&lt;18,"Under 18",C104&lt;36,"18-35",C104&lt;51,"36-50",C104&lt;66,"51-65",C104&gt;=66,"Above 65")</f>
        <v>Above 65</v>
      </c>
      <c r="O104" s="6"/>
    </row>
    <row r="105" spans="1:15" x14ac:dyDescent="0.35">
      <c r="A105" t="s">
        <v>255</v>
      </c>
      <c r="B105" t="s">
        <v>256</v>
      </c>
      <c r="C105">
        <v>51</v>
      </c>
      <c r="D105" t="s">
        <v>12</v>
      </c>
      <c r="E105" s="5">
        <v>45758</v>
      </c>
      <c r="F105" s="5">
        <v>45760</v>
      </c>
      <c r="G105">
        <f t="shared" si="2"/>
        <v>2</v>
      </c>
      <c r="H105" t="s">
        <v>31</v>
      </c>
      <c r="I105" t="s">
        <v>234</v>
      </c>
      <c r="J105" s="2">
        <v>1460.86</v>
      </c>
      <c r="K105" s="6">
        <v>0.7</v>
      </c>
      <c r="L105" t="s">
        <v>25</v>
      </c>
      <c r="M105" s="3">
        <f t="shared" si="3"/>
        <v>0</v>
      </c>
      <c r="N105" s="9" t="str" cm="1">
        <f t="array" ref="N105">_xlfn.IFS(C105&lt;18,"Under 18",C105&lt;36,"18-35",C105&lt;51,"36-50",C105&lt;66,"51-65",C105&gt;=66,"Above 65")</f>
        <v>51-65</v>
      </c>
      <c r="O105" s="6"/>
    </row>
    <row r="106" spans="1:15" x14ac:dyDescent="0.35">
      <c r="A106" t="s">
        <v>257</v>
      </c>
      <c r="B106" t="s">
        <v>258</v>
      </c>
      <c r="C106">
        <v>57</v>
      </c>
      <c r="D106" t="s">
        <v>12</v>
      </c>
      <c r="E106" s="5">
        <v>45669</v>
      </c>
      <c r="F106" s="5">
        <v>45672</v>
      </c>
      <c r="G106">
        <f t="shared" si="2"/>
        <v>3</v>
      </c>
      <c r="H106" t="s">
        <v>70</v>
      </c>
      <c r="I106" t="s">
        <v>237</v>
      </c>
      <c r="J106" s="2">
        <v>5152.58</v>
      </c>
      <c r="K106" s="6">
        <v>0</v>
      </c>
      <c r="L106" t="s">
        <v>15</v>
      </c>
      <c r="M106" s="3">
        <f t="shared" si="3"/>
        <v>5152.58</v>
      </c>
      <c r="N106" s="9" t="str" cm="1">
        <f t="array" ref="N106">_xlfn.IFS(C106&lt;18,"Under 18",C106&lt;36,"18-35",C106&lt;51,"36-50",C106&lt;66,"51-65",C106&gt;=66,"Above 65")</f>
        <v>51-65</v>
      </c>
      <c r="O106" s="6"/>
    </row>
    <row r="107" spans="1:15" x14ac:dyDescent="0.35">
      <c r="A107" t="s">
        <v>259</v>
      </c>
      <c r="B107" t="s">
        <v>260</v>
      </c>
      <c r="C107">
        <v>37</v>
      </c>
      <c r="D107" t="s">
        <v>18</v>
      </c>
      <c r="E107" s="5">
        <v>45865</v>
      </c>
      <c r="F107" s="5">
        <v>45866</v>
      </c>
      <c r="G107">
        <f t="shared" si="2"/>
        <v>1</v>
      </c>
      <c r="H107" t="s">
        <v>23</v>
      </c>
      <c r="I107" t="s">
        <v>28</v>
      </c>
      <c r="J107" s="2">
        <v>954.61</v>
      </c>
      <c r="K107" s="6">
        <v>0.9</v>
      </c>
      <c r="L107" t="s">
        <v>15</v>
      </c>
      <c r="M107" s="3">
        <f t="shared" si="3"/>
        <v>954.61</v>
      </c>
      <c r="N107" s="9" t="str" cm="1">
        <f t="array" ref="N107">_xlfn.IFS(C107&lt;18,"Under 18",C107&lt;36,"18-35",C107&lt;51,"36-50",C107&lt;66,"51-65",C107&gt;=66,"Above 65")</f>
        <v>36-50</v>
      </c>
      <c r="O107" s="6"/>
    </row>
    <row r="108" spans="1:15" x14ac:dyDescent="0.35">
      <c r="A108" t="s">
        <v>261</v>
      </c>
      <c r="B108" t="s">
        <v>262</v>
      </c>
      <c r="C108">
        <v>59</v>
      </c>
      <c r="D108" t="s">
        <v>12</v>
      </c>
      <c r="E108" s="5">
        <v>45703</v>
      </c>
      <c r="F108" s="5">
        <v>45709</v>
      </c>
      <c r="G108">
        <f t="shared" si="2"/>
        <v>6</v>
      </c>
      <c r="H108" t="s">
        <v>13</v>
      </c>
      <c r="I108" t="s">
        <v>111</v>
      </c>
      <c r="J108" s="2">
        <v>11951.45</v>
      </c>
      <c r="K108" s="6">
        <v>1</v>
      </c>
      <c r="L108" t="s">
        <v>15</v>
      </c>
      <c r="M108" s="3">
        <f t="shared" si="3"/>
        <v>11951.45</v>
      </c>
      <c r="N108" s="9" t="str" cm="1">
        <f t="array" ref="N108">_xlfn.IFS(C108&lt;18,"Under 18",C108&lt;36,"18-35",C108&lt;51,"36-50",C108&lt;66,"51-65",C108&gt;=66,"Above 65")</f>
        <v>51-65</v>
      </c>
      <c r="O108" s="6"/>
    </row>
    <row r="109" spans="1:15" x14ac:dyDescent="0.35">
      <c r="A109" t="s">
        <v>263</v>
      </c>
      <c r="B109" t="s">
        <v>179</v>
      </c>
      <c r="C109">
        <v>2</v>
      </c>
      <c r="D109" t="s">
        <v>12</v>
      </c>
      <c r="E109" s="5">
        <v>45391</v>
      </c>
      <c r="F109" s="5">
        <v>45393</v>
      </c>
      <c r="G109">
        <f t="shared" si="2"/>
        <v>2</v>
      </c>
      <c r="H109" t="s">
        <v>49</v>
      </c>
      <c r="I109" t="s">
        <v>123</v>
      </c>
      <c r="J109" s="2">
        <v>3169.16</v>
      </c>
      <c r="K109" s="6">
        <v>0.6</v>
      </c>
      <c r="L109" t="s">
        <v>20</v>
      </c>
      <c r="M109" s="3">
        <f t="shared" si="3"/>
        <v>0</v>
      </c>
      <c r="N109" s="9" t="str" cm="1">
        <f t="array" ref="N109">_xlfn.IFS(C109&lt;18,"Under 18",C109&lt;36,"18-35",C109&lt;51,"36-50",C109&lt;66,"51-65",C109&gt;=66,"Above 65")</f>
        <v>Under 18</v>
      </c>
      <c r="O109" s="6"/>
    </row>
    <row r="110" spans="1:15" x14ac:dyDescent="0.35">
      <c r="A110" t="s">
        <v>264</v>
      </c>
      <c r="B110" t="s">
        <v>265</v>
      </c>
      <c r="C110">
        <v>55</v>
      </c>
      <c r="D110" t="s">
        <v>12</v>
      </c>
      <c r="E110" s="5">
        <v>45784</v>
      </c>
      <c r="F110" s="5">
        <v>45785</v>
      </c>
      <c r="G110">
        <f t="shared" si="2"/>
        <v>1</v>
      </c>
      <c r="H110" t="s">
        <v>31</v>
      </c>
      <c r="I110" t="s">
        <v>87</v>
      </c>
      <c r="J110" s="2">
        <v>1178.75</v>
      </c>
      <c r="K110" s="6">
        <v>0.7</v>
      </c>
      <c r="L110" t="s">
        <v>15</v>
      </c>
      <c r="M110" s="3">
        <f t="shared" si="3"/>
        <v>1178.75</v>
      </c>
      <c r="N110" s="9" t="str" cm="1">
        <f t="array" ref="N110">_xlfn.IFS(C110&lt;18,"Under 18",C110&lt;36,"18-35",C110&lt;51,"36-50",C110&lt;66,"51-65",C110&gt;=66,"Above 65")</f>
        <v>51-65</v>
      </c>
      <c r="O110" s="6"/>
    </row>
    <row r="111" spans="1:15" x14ac:dyDescent="0.35">
      <c r="A111" t="s">
        <v>266</v>
      </c>
      <c r="B111" t="s">
        <v>267</v>
      </c>
      <c r="C111">
        <v>69</v>
      </c>
      <c r="D111" t="s">
        <v>12</v>
      </c>
      <c r="E111" s="5">
        <v>45402</v>
      </c>
      <c r="F111" s="5">
        <v>45405</v>
      </c>
      <c r="G111">
        <f t="shared" si="2"/>
        <v>3</v>
      </c>
      <c r="H111" t="s">
        <v>23</v>
      </c>
      <c r="I111" t="s">
        <v>24</v>
      </c>
      <c r="J111" s="2">
        <v>4895.09</v>
      </c>
      <c r="K111" s="6">
        <v>0.5</v>
      </c>
      <c r="L111" t="s">
        <v>25</v>
      </c>
      <c r="M111" s="3">
        <f t="shared" si="3"/>
        <v>0</v>
      </c>
      <c r="N111" s="9" t="str" cm="1">
        <f t="array" ref="N111">_xlfn.IFS(C111&lt;18,"Under 18",C111&lt;36,"18-35",C111&lt;51,"36-50",C111&lt;66,"51-65",C111&gt;=66,"Above 65")</f>
        <v>Above 65</v>
      </c>
      <c r="O111" s="6"/>
    </row>
    <row r="112" spans="1:15" x14ac:dyDescent="0.35">
      <c r="A112" t="s">
        <v>268</v>
      </c>
      <c r="B112" t="s">
        <v>110</v>
      </c>
      <c r="C112">
        <v>2</v>
      </c>
      <c r="D112" t="s">
        <v>12</v>
      </c>
      <c r="E112" s="5">
        <v>45580</v>
      </c>
      <c r="F112" s="5">
        <v>45581</v>
      </c>
      <c r="G112">
        <f t="shared" si="2"/>
        <v>1</v>
      </c>
      <c r="H112" t="s">
        <v>49</v>
      </c>
      <c r="I112" t="s">
        <v>117</v>
      </c>
      <c r="J112" s="2">
        <v>819.61</v>
      </c>
      <c r="K112" s="6">
        <v>0.8</v>
      </c>
      <c r="L112" t="s">
        <v>15</v>
      </c>
      <c r="M112" s="3">
        <f t="shared" si="3"/>
        <v>819.61</v>
      </c>
      <c r="N112" s="9" t="str" cm="1">
        <f t="array" ref="N112">_xlfn.IFS(C112&lt;18,"Under 18",C112&lt;36,"18-35",C112&lt;51,"36-50",C112&lt;66,"51-65",C112&gt;=66,"Above 65")</f>
        <v>Under 18</v>
      </c>
      <c r="O112" s="6"/>
    </row>
    <row r="113" spans="1:15" x14ac:dyDescent="0.35">
      <c r="A113" t="s">
        <v>269</v>
      </c>
      <c r="B113" t="s">
        <v>270</v>
      </c>
      <c r="C113">
        <v>40</v>
      </c>
      <c r="D113" t="s">
        <v>18</v>
      </c>
      <c r="E113" s="5">
        <v>45630</v>
      </c>
      <c r="F113" s="5">
        <v>45632</v>
      </c>
      <c r="G113">
        <f t="shared" si="2"/>
        <v>2</v>
      </c>
      <c r="H113" t="s">
        <v>23</v>
      </c>
      <c r="I113" t="s">
        <v>24</v>
      </c>
      <c r="J113" s="2">
        <v>2899.4</v>
      </c>
      <c r="K113" s="6">
        <v>0.7</v>
      </c>
      <c r="L113" t="s">
        <v>20</v>
      </c>
      <c r="M113" s="3">
        <f t="shared" si="3"/>
        <v>0</v>
      </c>
      <c r="N113" s="9" t="str" cm="1">
        <f t="array" ref="N113">_xlfn.IFS(C113&lt;18,"Under 18",C113&lt;36,"18-35",C113&lt;51,"36-50",C113&lt;66,"51-65",C113&gt;=66,"Above 65")</f>
        <v>36-50</v>
      </c>
      <c r="O113" s="6"/>
    </row>
    <row r="114" spans="1:15" x14ac:dyDescent="0.35">
      <c r="A114" t="s">
        <v>271</v>
      </c>
      <c r="B114" t="s">
        <v>272</v>
      </c>
      <c r="C114">
        <v>4</v>
      </c>
      <c r="D114" t="s">
        <v>18</v>
      </c>
      <c r="E114" s="5">
        <v>45296</v>
      </c>
      <c r="F114" s="5">
        <v>45298</v>
      </c>
      <c r="G114">
        <f t="shared" si="2"/>
        <v>2</v>
      </c>
      <c r="H114" t="s">
        <v>49</v>
      </c>
      <c r="I114" t="s">
        <v>123</v>
      </c>
      <c r="J114" s="2">
        <v>2638.05</v>
      </c>
      <c r="K114" s="6">
        <v>0.9</v>
      </c>
      <c r="L114" t="s">
        <v>20</v>
      </c>
      <c r="M114" s="3">
        <f t="shared" si="3"/>
        <v>0</v>
      </c>
      <c r="N114" s="9" t="str" cm="1">
        <f t="array" ref="N114">_xlfn.IFS(C114&lt;18,"Under 18",C114&lt;36,"18-35",C114&lt;51,"36-50",C114&lt;66,"51-65",C114&gt;=66,"Above 65")</f>
        <v>Under 18</v>
      </c>
      <c r="O114" s="6"/>
    </row>
    <row r="115" spans="1:15" x14ac:dyDescent="0.35">
      <c r="A115" t="s">
        <v>273</v>
      </c>
      <c r="B115" t="s">
        <v>274</v>
      </c>
      <c r="C115">
        <v>19</v>
      </c>
      <c r="D115" t="s">
        <v>18</v>
      </c>
      <c r="E115" s="5">
        <v>45420</v>
      </c>
      <c r="F115" s="5">
        <v>45423</v>
      </c>
      <c r="G115">
        <f t="shared" si="2"/>
        <v>3</v>
      </c>
      <c r="H115" t="s">
        <v>23</v>
      </c>
      <c r="I115" t="s">
        <v>28</v>
      </c>
      <c r="J115" s="2">
        <v>6176.26</v>
      </c>
      <c r="K115" s="6">
        <v>0.7</v>
      </c>
      <c r="L115" t="s">
        <v>20</v>
      </c>
      <c r="M115" s="3">
        <f t="shared" si="3"/>
        <v>0</v>
      </c>
      <c r="N115" s="9" t="str" cm="1">
        <f t="array" ref="N115">_xlfn.IFS(C115&lt;18,"Under 18",C115&lt;36,"18-35",C115&lt;51,"36-50",C115&lt;66,"51-65",C115&gt;=66,"Above 65")</f>
        <v>18-35</v>
      </c>
      <c r="O115" s="6"/>
    </row>
    <row r="116" spans="1:15" x14ac:dyDescent="0.35">
      <c r="A116" t="s">
        <v>275</v>
      </c>
      <c r="B116" t="s">
        <v>276</v>
      </c>
      <c r="C116">
        <v>29</v>
      </c>
      <c r="D116" t="s">
        <v>12</v>
      </c>
      <c r="E116" s="5">
        <v>45912</v>
      </c>
      <c r="F116" s="5">
        <v>45915</v>
      </c>
      <c r="G116">
        <f t="shared" si="2"/>
        <v>3</v>
      </c>
      <c r="H116" t="s">
        <v>60</v>
      </c>
      <c r="I116" t="s">
        <v>142</v>
      </c>
      <c r="J116" s="2">
        <v>4035.23</v>
      </c>
      <c r="K116" s="6">
        <v>0.8</v>
      </c>
      <c r="L116" t="s">
        <v>15</v>
      </c>
      <c r="M116" s="3">
        <f t="shared" si="3"/>
        <v>4035.23</v>
      </c>
      <c r="N116" s="9" t="str" cm="1">
        <f t="array" ref="N116">_xlfn.IFS(C116&lt;18,"Under 18",C116&lt;36,"18-35",C116&lt;51,"36-50",C116&lt;66,"51-65",C116&gt;=66,"Above 65")</f>
        <v>18-35</v>
      </c>
      <c r="O116" s="6"/>
    </row>
    <row r="117" spans="1:15" x14ac:dyDescent="0.35">
      <c r="A117" t="s">
        <v>277</v>
      </c>
      <c r="B117" t="s">
        <v>278</v>
      </c>
      <c r="C117">
        <v>36</v>
      </c>
      <c r="D117" t="s">
        <v>18</v>
      </c>
      <c r="E117" s="5">
        <v>45377</v>
      </c>
      <c r="F117" s="5">
        <v>45379</v>
      </c>
      <c r="G117">
        <f t="shared" si="2"/>
        <v>2</v>
      </c>
      <c r="H117" t="s">
        <v>31</v>
      </c>
      <c r="I117" t="s">
        <v>87</v>
      </c>
      <c r="J117" s="2">
        <v>1068.76</v>
      </c>
      <c r="K117" s="6">
        <v>0.8</v>
      </c>
      <c r="L117" t="s">
        <v>15</v>
      </c>
      <c r="M117" s="3">
        <f t="shared" si="3"/>
        <v>1068.76</v>
      </c>
      <c r="N117" s="9" t="str" cm="1">
        <f t="array" ref="N117">_xlfn.IFS(C117&lt;18,"Under 18",C117&lt;36,"18-35",C117&lt;51,"36-50",C117&lt;66,"51-65",C117&gt;=66,"Above 65")</f>
        <v>36-50</v>
      </c>
      <c r="O117" s="6"/>
    </row>
    <row r="118" spans="1:15" x14ac:dyDescent="0.35">
      <c r="A118" t="s">
        <v>279</v>
      </c>
      <c r="B118" t="s">
        <v>280</v>
      </c>
      <c r="C118">
        <v>45</v>
      </c>
      <c r="D118" t="s">
        <v>12</v>
      </c>
      <c r="E118" s="5">
        <v>45460</v>
      </c>
      <c r="F118" s="5">
        <v>45463</v>
      </c>
      <c r="G118">
        <f t="shared" si="2"/>
        <v>3</v>
      </c>
      <c r="H118" t="s">
        <v>23</v>
      </c>
      <c r="I118" t="s">
        <v>221</v>
      </c>
      <c r="J118" s="2">
        <v>2606.79</v>
      </c>
      <c r="K118" s="6">
        <v>0.7</v>
      </c>
      <c r="L118" t="s">
        <v>20</v>
      </c>
      <c r="M118" s="3">
        <f t="shared" si="3"/>
        <v>0</v>
      </c>
      <c r="N118" s="9" t="str" cm="1">
        <f t="array" ref="N118">_xlfn.IFS(C118&lt;18,"Under 18",C118&lt;36,"18-35",C118&lt;51,"36-50",C118&lt;66,"51-65",C118&gt;=66,"Above 65")</f>
        <v>36-50</v>
      </c>
      <c r="O118" s="6"/>
    </row>
    <row r="119" spans="1:15" x14ac:dyDescent="0.35">
      <c r="A119" t="s">
        <v>281</v>
      </c>
      <c r="B119" t="s">
        <v>282</v>
      </c>
      <c r="C119">
        <v>2</v>
      </c>
      <c r="D119" t="s">
        <v>18</v>
      </c>
      <c r="E119" s="5">
        <v>45821</v>
      </c>
      <c r="F119" s="5">
        <v>45823</v>
      </c>
      <c r="G119">
        <f t="shared" si="2"/>
        <v>2</v>
      </c>
      <c r="H119" t="s">
        <v>49</v>
      </c>
      <c r="I119" t="s">
        <v>50</v>
      </c>
      <c r="J119" s="2">
        <v>2856.34</v>
      </c>
      <c r="K119" s="6">
        <v>1</v>
      </c>
      <c r="L119" t="s">
        <v>20</v>
      </c>
      <c r="M119" s="3">
        <f t="shared" si="3"/>
        <v>0</v>
      </c>
      <c r="N119" s="9" t="str" cm="1">
        <f t="array" ref="N119">_xlfn.IFS(C119&lt;18,"Under 18",C119&lt;36,"18-35",C119&lt;51,"36-50",C119&lt;66,"51-65",C119&gt;=66,"Above 65")</f>
        <v>Under 18</v>
      </c>
      <c r="O119" s="6"/>
    </row>
    <row r="120" spans="1:15" x14ac:dyDescent="0.35">
      <c r="A120" t="s">
        <v>283</v>
      </c>
      <c r="B120" t="s">
        <v>284</v>
      </c>
      <c r="C120">
        <v>48</v>
      </c>
      <c r="D120" t="s">
        <v>18</v>
      </c>
      <c r="E120" s="5">
        <v>45478</v>
      </c>
      <c r="F120" s="5">
        <v>45486</v>
      </c>
      <c r="G120">
        <f t="shared" si="2"/>
        <v>8</v>
      </c>
      <c r="H120" t="s">
        <v>60</v>
      </c>
      <c r="I120" t="s">
        <v>97</v>
      </c>
      <c r="J120" s="2">
        <v>13136.54</v>
      </c>
      <c r="K120" s="6">
        <v>1</v>
      </c>
      <c r="L120" t="s">
        <v>20</v>
      </c>
      <c r="M120" s="3">
        <f t="shared" si="3"/>
        <v>0</v>
      </c>
      <c r="N120" s="9" t="str" cm="1">
        <f t="array" ref="N120">_xlfn.IFS(C120&lt;18,"Under 18",C120&lt;36,"18-35",C120&lt;51,"36-50",C120&lt;66,"51-65",C120&gt;=66,"Above 65")</f>
        <v>36-50</v>
      </c>
      <c r="O120" s="6"/>
    </row>
    <row r="121" spans="1:15" x14ac:dyDescent="0.35">
      <c r="A121" t="s">
        <v>285</v>
      </c>
      <c r="B121" t="s">
        <v>286</v>
      </c>
      <c r="C121">
        <v>32</v>
      </c>
      <c r="D121" t="s">
        <v>12</v>
      </c>
      <c r="E121" s="5">
        <v>45909</v>
      </c>
      <c r="F121" s="5">
        <v>45915</v>
      </c>
      <c r="G121">
        <f t="shared" si="2"/>
        <v>6</v>
      </c>
      <c r="H121" t="s">
        <v>60</v>
      </c>
      <c r="I121" t="s">
        <v>77</v>
      </c>
      <c r="J121" s="2">
        <v>10441.879999999999</v>
      </c>
      <c r="K121" s="6">
        <v>0.7</v>
      </c>
      <c r="L121" t="s">
        <v>20</v>
      </c>
      <c r="M121" s="3">
        <f t="shared" si="3"/>
        <v>0</v>
      </c>
      <c r="N121" s="9" t="str" cm="1">
        <f t="array" ref="N121">_xlfn.IFS(C121&lt;18,"Under 18",C121&lt;36,"18-35",C121&lt;51,"36-50",C121&lt;66,"51-65",C121&gt;=66,"Above 65")</f>
        <v>18-35</v>
      </c>
      <c r="O121" s="6"/>
    </row>
    <row r="122" spans="1:15" x14ac:dyDescent="0.35">
      <c r="A122" t="s">
        <v>287</v>
      </c>
      <c r="B122" t="s">
        <v>288</v>
      </c>
      <c r="C122">
        <v>39</v>
      </c>
      <c r="D122" t="s">
        <v>12</v>
      </c>
      <c r="E122" s="5">
        <v>45529</v>
      </c>
      <c r="F122" s="5">
        <v>45536</v>
      </c>
      <c r="G122">
        <f t="shared" si="2"/>
        <v>7</v>
      </c>
      <c r="H122" t="s">
        <v>31</v>
      </c>
      <c r="I122" t="s">
        <v>32</v>
      </c>
      <c r="J122" s="2">
        <v>8804.17</v>
      </c>
      <c r="K122" s="6">
        <v>0.7</v>
      </c>
      <c r="L122" t="s">
        <v>20</v>
      </c>
      <c r="M122" s="3">
        <f t="shared" si="3"/>
        <v>0</v>
      </c>
      <c r="N122" s="9" t="str" cm="1">
        <f t="array" ref="N122">_xlfn.IFS(C122&lt;18,"Under 18",C122&lt;36,"18-35",C122&lt;51,"36-50",C122&lt;66,"51-65",C122&gt;=66,"Above 65")</f>
        <v>36-50</v>
      </c>
      <c r="O122" s="6"/>
    </row>
    <row r="123" spans="1:15" x14ac:dyDescent="0.35">
      <c r="A123" t="s">
        <v>289</v>
      </c>
      <c r="B123" t="s">
        <v>290</v>
      </c>
      <c r="C123">
        <v>14</v>
      </c>
      <c r="D123" t="s">
        <v>12</v>
      </c>
      <c r="E123" s="5">
        <v>45433</v>
      </c>
      <c r="F123" s="5">
        <v>45438</v>
      </c>
      <c r="G123">
        <f t="shared" si="2"/>
        <v>5</v>
      </c>
      <c r="H123" t="s">
        <v>49</v>
      </c>
      <c r="I123" t="s">
        <v>130</v>
      </c>
      <c r="J123" s="2">
        <v>8692.2099999999991</v>
      </c>
      <c r="K123" s="6">
        <v>0.8</v>
      </c>
      <c r="L123" t="s">
        <v>20</v>
      </c>
      <c r="M123" s="3">
        <f t="shared" si="3"/>
        <v>0</v>
      </c>
      <c r="N123" s="9" t="str" cm="1">
        <f t="array" ref="N123">_xlfn.IFS(C123&lt;18,"Under 18",C123&lt;36,"18-35",C123&lt;51,"36-50",C123&lt;66,"51-65",C123&gt;=66,"Above 65")</f>
        <v>Under 18</v>
      </c>
      <c r="O123" s="6"/>
    </row>
    <row r="124" spans="1:15" x14ac:dyDescent="0.35">
      <c r="A124" t="s">
        <v>291</v>
      </c>
      <c r="B124" t="s">
        <v>292</v>
      </c>
      <c r="C124">
        <v>77</v>
      </c>
      <c r="D124" t="s">
        <v>12</v>
      </c>
      <c r="E124" s="5">
        <v>45601</v>
      </c>
      <c r="F124" s="5">
        <v>45606</v>
      </c>
      <c r="G124">
        <f t="shared" si="2"/>
        <v>5</v>
      </c>
      <c r="H124" t="s">
        <v>13</v>
      </c>
      <c r="I124" t="s">
        <v>14</v>
      </c>
      <c r="J124" s="2">
        <v>8942.35</v>
      </c>
      <c r="K124" s="6">
        <v>0</v>
      </c>
      <c r="L124" t="s">
        <v>15</v>
      </c>
      <c r="M124" s="3">
        <f t="shared" si="3"/>
        <v>8942.35</v>
      </c>
      <c r="N124" s="9" t="str" cm="1">
        <f t="array" ref="N124">_xlfn.IFS(C124&lt;18,"Under 18",C124&lt;36,"18-35",C124&lt;51,"36-50",C124&lt;66,"51-65",C124&gt;=66,"Above 65")</f>
        <v>Above 65</v>
      </c>
      <c r="O124" s="6"/>
    </row>
    <row r="125" spans="1:15" x14ac:dyDescent="0.35">
      <c r="A125" t="s">
        <v>293</v>
      </c>
      <c r="B125" t="s">
        <v>294</v>
      </c>
      <c r="C125">
        <v>59</v>
      </c>
      <c r="D125" t="s">
        <v>12</v>
      </c>
      <c r="E125" s="5">
        <v>45786</v>
      </c>
      <c r="F125" s="5">
        <v>45796</v>
      </c>
      <c r="G125">
        <f t="shared" si="2"/>
        <v>10</v>
      </c>
      <c r="H125" t="s">
        <v>70</v>
      </c>
      <c r="I125" t="s">
        <v>295</v>
      </c>
      <c r="J125" s="2">
        <v>17584.490000000002</v>
      </c>
      <c r="K125" s="6">
        <v>1</v>
      </c>
      <c r="L125" t="s">
        <v>25</v>
      </c>
      <c r="M125" s="3">
        <f t="shared" si="3"/>
        <v>0</v>
      </c>
      <c r="N125" s="9" t="str" cm="1">
        <f t="array" ref="N125">_xlfn.IFS(C125&lt;18,"Under 18",C125&lt;36,"18-35",C125&lt;51,"36-50",C125&lt;66,"51-65",C125&gt;=66,"Above 65")</f>
        <v>51-65</v>
      </c>
      <c r="O125" s="6"/>
    </row>
    <row r="126" spans="1:15" x14ac:dyDescent="0.35">
      <c r="A126" t="s">
        <v>296</v>
      </c>
      <c r="B126" t="s">
        <v>206</v>
      </c>
      <c r="C126">
        <v>84</v>
      </c>
      <c r="D126" t="s">
        <v>18</v>
      </c>
      <c r="E126" s="5">
        <v>45399</v>
      </c>
      <c r="F126" s="5">
        <v>45400</v>
      </c>
      <c r="G126">
        <f t="shared" si="2"/>
        <v>1</v>
      </c>
      <c r="H126" t="s">
        <v>23</v>
      </c>
      <c r="I126" t="s">
        <v>204</v>
      </c>
      <c r="J126" s="2">
        <v>1921.25</v>
      </c>
      <c r="K126" s="6">
        <v>0.5</v>
      </c>
      <c r="L126" t="s">
        <v>25</v>
      </c>
      <c r="M126" s="3">
        <f t="shared" si="3"/>
        <v>0</v>
      </c>
      <c r="N126" s="9" t="str" cm="1">
        <f t="array" ref="N126">_xlfn.IFS(C126&lt;18,"Under 18",C126&lt;36,"18-35",C126&lt;51,"36-50",C126&lt;66,"51-65",C126&gt;=66,"Above 65")</f>
        <v>Above 65</v>
      </c>
      <c r="O126" s="6"/>
    </row>
    <row r="127" spans="1:15" x14ac:dyDescent="0.35">
      <c r="A127" t="s">
        <v>297</v>
      </c>
      <c r="B127" t="s">
        <v>298</v>
      </c>
      <c r="C127">
        <v>41</v>
      </c>
      <c r="D127" t="s">
        <v>18</v>
      </c>
      <c r="E127" s="5">
        <v>45515</v>
      </c>
      <c r="F127" s="5">
        <v>45518</v>
      </c>
      <c r="G127">
        <f t="shared" si="2"/>
        <v>3</v>
      </c>
      <c r="H127" t="s">
        <v>70</v>
      </c>
      <c r="I127" t="s">
        <v>295</v>
      </c>
      <c r="J127" s="2">
        <v>6966.69</v>
      </c>
      <c r="K127" s="6">
        <v>0.7</v>
      </c>
      <c r="L127" t="s">
        <v>20</v>
      </c>
      <c r="M127" s="3">
        <f t="shared" si="3"/>
        <v>0</v>
      </c>
      <c r="N127" s="9" t="str" cm="1">
        <f t="array" ref="N127">_xlfn.IFS(C127&lt;18,"Under 18",C127&lt;36,"18-35",C127&lt;51,"36-50",C127&lt;66,"51-65",C127&gt;=66,"Above 65")</f>
        <v>36-50</v>
      </c>
      <c r="O127" s="6"/>
    </row>
    <row r="128" spans="1:15" x14ac:dyDescent="0.35">
      <c r="A128" t="s">
        <v>299</v>
      </c>
      <c r="B128" t="s">
        <v>300</v>
      </c>
      <c r="C128">
        <v>4</v>
      </c>
      <c r="D128" t="s">
        <v>18</v>
      </c>
      <c r="E128" s="5">
        <v>45390</v>
      </c>
      <c r="F128" s="5">
        <v>45394</v>
      </c>
      <c r="G128">
        <f t="shared" si="2"/>
        <v>4</v>
      </c>
      <c r="H128" t="s">
        <v>49</v>
      </c>
      <c r="I128" t="s">
        <v>130</v>
      </c>
      <c r="J128" s="2">
        <v>5715.35</v>
      </c>
      <c r="K128" s="6">
        <v>0.7</v>
      </c>
      <c r="L128" t="s">
        <v>15</v>
      </c>
      <c r="M128" s="3">
        <f t="shared" si="3"/>
        <v>5715.35</v>
      </c>
      <c r="N128" s="9" t="str" cm="1">
        <f t="array" ref="N128">_xlfn.IFS(C128&lt;18,"Under 18",C128&lt;36,"18-35",C128&lt;51,"36-50",C128&lt;66,"51-65",C128&gt;=66,"Above 65")</f>
        <v>Under 18</v>
      </c>
      <c r="O128" s="6"/>
    </row>
    <row r="129" spans="1:15" x14ac:dyDescent="0.35">
      <c r="A129" t="s">
        <v>301</v>
      </c>
      <c r="B129" t="s">
        <v>302</v>
      </c>
      <c r="C129">
        <v>48</v>
      </c>
      <c r="D129" t="s">
        <v>18</v>
      </c>
      <c r="E129" s="5">
        <v>45936</v>
      </c>
      <c r="F129" s="5">
        <v>45939</v>
      </c>
      <c r="G129">
        <f t="shared" si="2"/>
        <v>3</v>
      </c>
      <c r="H129" t="s">
        <v>23</v>
      </c>
      <c r="I129" t="s">
        <v>204</v>
      </c>
      <c r="J129" s="2">
        <v>4210.91</v>
      </c>
      <c r="K129" s="6">
        <v>0.9</v>
      </c>
      <c r="L129" t="s">
        <v>15</v>
      </c>
      <c r="M129" s="3">
        <f t="shared" si="3"/>
        <v>4210.91</v>
      </c>
      <c r="N129" s="9" t="str" cm="1">
        <f t="array" ref="N129">_xlfn.IFS(C129&lt;18,"Under 18",C129&lt;36,"18-35",C129&lt;51,"36-50",C129&lt;66,"51-65",C129&gt;=66,"Above 65")</f>
        <v>36-50</v>
      </c>
      <c r="O129" s="6"/>
    </row>
    <row r="130" spans="1:15" x14ac:dyDescent="0.35">
      <c r="A130" t="s">
        <v>303</v>
      </c>
      <c r="B130" t="s">
        <v>304</v>
      </c>
      <c r="C130">
        <v>62</v>
      </c>
      <c r="D130" t="s">
        <v>18</v>
      </c>
      <c r="E130" s="5">
        <v>45353</v>
      </c>
      <c r="F130" s="5">
        <v>45360</v>
      </c>
      <c r="G130">
        <f t="shared" si="2"/>
        <v>7</v>
      </c>
      <c r="H130" t="s">
        <v>13</v>
      </c>
      <c r="I130" t="s">
        <v>19</v>
      </c>
      <c r="J130" s="2">
        <v>11082.93</v>
      </c>
      <c r="K130" s="6">
        <v>0.5</v>
      </c>
      <c r="L130" t="s">
        <v>20</v>
      </c>
      <c r="M130" s="3">
        <f t="shared" si="3"/>
        <v>0</v>
      </c>
      <c r="N130" s="9" t="str" cm="1">
        <f t="array" ref="N130">_xlfn.IFS(C130&lt;18,"Under 18",C130&lt;36,"18-35",C130&lt;51,"36-50",C130&lt;66,"51-65",C130&gt;=66,"Above 65")</f>
        <v>51-65</v>
      </c>
      <c r="O130" s="6"/>
    </row>
    <row r="131" spans="1:15" x14ac:dyDescent="0.35">
      <c r="A131" t="s">
        <v>305</v>
      </c>
      <c r="B131" t="s">
        <v>306</v>
      </c>
      <c r="C131">
        <v>31</v>
      </c>
      <c r="D131" t="s">
        <v>18</v>
      </c>
      <c r="E131" s="5">
        <v>45625</v>
      </c>
      <c r="F131" s="5">
        <v>45630</v>
      </c>
      <c r="G131">
        <f t="shared" ref="G131:G194" si="4">DATEDIF(E131,F131,"D")</f>
        <v>5</v>
      </c>
      <c r="H131" t="s">
        <v>31</v>
      </c>
      <c r="I131" t="s">
        <v>53</v>
      </c>
      <c r="J131" s="2">
        <v>6234.49</v>
      </c>
      <c r="K131" s="6">
        <v>1</v>
      </c>
      <c r="L131" t="s">
        <v>20</v>
      </c>
      <c r="M131" s="3">
        <f t="shared" ref="M131:M194" si="5">IF(L131 = "Paid",J131,0)</f>
        <v>0</v>
      </c>
      <c r="N131" s="9" t="str" cm="1">
        <f t="array" ref="N131">_xlfn.IFS(C131&lt;18,"Under 18",C131&lt;36,"18-35",C131&lt;51,"36-50",C131&lt;66,"51-65",C131&gt;=66,"Above 65")</f>
        <v>18-35</v>
      </c>
      <c r="O131" s="6"/>
    </row>
    <row r="132" spans="1:15" x14ac:dyDescent="0.35">
      <c r="A132" t="s">
        <v>307</v>
      </c>
      <c r="B132" t="s">
        <v>308</v>
      </c>
      <c r="C132">
        <v>65</v>
      </c>
      <c r="D132" t="s">
        <v>18</v>
      </c>
      <c r="E132" s="5">
        <v>45793</v>
      </c>
      <c r="F132" s="5">
        <v>45803</v>
      </c>
      <c r="G132">
        <f t="shared" si="4"/>
        <v>10</v>
      </c>
      <c r="H132" t="s">
        <v>70</v>
      </c>
      <c r="I132" t="s">
        <v>295</v>
      </c>
      <c r="J132" s="2">
        <v>17644.05</v>
      </c>
      <c r="K132" s="6">
        <v>0.6</v>
      </c>
      <c r="L132" t="s">
        <v>15</v>
      </c>
      <c r="M132" s="3">
        <f t="shared" si="5"/>
        <v>17644.05</v>
      </c>
      <c r="N132" s="9" t="str" cm="1">
        <f t="array" ref="N132">_xlfn.IFS(C132&lt;18,"Under 18",C132&lt;36,"18-35",C132&lt;51,"36-50",C132&lt;66,"51-65",C132&gt;=66,"Above 65")</f>
        <v>51-65</v>
      </c>
      <c r="O132" s="6"/>
    </row>
    <row r="133" spans="1:15" x14ac:dyDescent="0.35">
      <c r="A133" t="s">
        <v>309</v>
      </c>
      <c r="B133" t="s">
        <v>310</v>
      </c>
      <c r="C133">
        <v>80</v>
      </c>
      <c r="D133" t="s">
        <v>12</v>
      </c>
      <c r="E133" s="5">
        <v>45587</v>
      </c>
      <c r="F133" s="5">
        <v>45596</v>
      </c>
      <c r="G133">
        <f t="shared" si="4"/>
        <v>9</v>
      </c>
      <c r="H133" t="s">
        <v>70</v>
      </c>
      <c r="I133" t="s">
        <v>71</v>
      </c>
      <c r="J133" s="2">
        <v>11838.97</v>
      </c>
      <c r="K133" s="6">
        <v>0.7</v>
      </c>
      <c r="L133" t="s">
        <v>25</v>
      </c>
      <c r="M133" s="3">
        <f t="shared" si="5"/>
        <v>0</v>
      </c>
      <c r="N133" s="9" t="str" cm="1">
        <f t="array" ref="N133">_xlfn.IFS(C133&lt;18,"Under 18",C133&lt;36,"18-35",C133&lt;51,"36-50",C133&lt;66,"51-65",C133&gt;=66,"Above 65")</f>
        <v>Above 65</v>
      </c>
      <c r="O133" s="6"/>
    </row>
    <row r="134" spans="1:15" x14ac:dyDescent="0.35">
      <c r="A134" t="s">
        <v>311</v>
      </c>
      <c r="B134" t="s">
        <v>312</v>
      </c>
      <c r="C134">
        <v>9</v>
      </c>
      <c r="D134" t="s">
        <v>12</v>
      </c>
      <c r="E134" s="5">
        <v>45589</v>
      </c>
      <c r="F134" s="5">
        <v>45592</v>
      </c>
      <c r="G134">
        <f t="shared" si="4"/>
        <v>3</v>
      </c>
      <c r="H134" t="s">
        <v>49</v>
      </c>
      <c r="I134" t="s">
        <v>123</v>
      </c>
      <c r="J134" s="2">
        <v>2139.13</v>
      </c>
      <c r="K134" s="6">
        <v>0.9</v>
      </c>
      <c r="L134" t="s">
        <v>25</v>
      </c>
      <c r="M134" s="3">
        <f t="shared" si="5"/>
        <v>0</v>
      </c>
      <c r="N134" s="9" t="str" cm="1">
        <f t="array" ref="N134">_xlfn.IFS(C134&lt;18,"Under 18",C134&lt;36,"18-35",C134&lt;51,"36-50",C134&lt;66,"51-65",C134&gt;=66,"Above 65")</f>
        <v>Under 18</v>
      </c>
      <c r="O134" s="6"/>
    </row>
    <row r="135" spans="1:15" x14ac:dyDescent="0.35">
      <c r="A135" t="s">
        <v>313</v>
      </c>
      <c r="B135" t="s">
        <v>314</v>
      </c>
      <c r="C135">
        <v>48</v>
      </c>
      <c r="D135" t="s">
        <v>18</v>
      </c>
      <c r="E135" s="5">
        <v>45436</v>
      </c>
      <c r="F135" s="5">
        <v>45443</v>
      </c>
      <c r="G135">
        <f t="shared" si="4"/>
        <v>7</v>
      </c>
      <c r="H135" t="s">
        <v>13</v>
      </c>
      <c r="I135" t="s">
        <v>38</v>
      </c>
      <c r="J135" s="2">
        <v>10657.18</v>
      </c>
      <c r="K135" s="6">
        <v>1</v>
      </c>
      <c r="L135" t="s">
        <v>15</v>
      </c>
      <c r="M135" s="3">
        <f t="shared" si="5"/>
        <v>10657.18</v>
      </c>
      <c r="N135" s="9" t="str" cm="1">
        <f t="array" ref="N135">_xlfn.IFS(C135&lt;18,"Under 18",C135&lt;36,"18-35",C135&lt;51,"36-50",C135&lt;66,"51-65",C135&gt;=66,"Above 65")</f>
        <v>36-50</v>
      </c>
      <c r="O135" s="6"/>
    </row>
    <row r="136" spans="1:15" x14ac:dyDescent="0.35">
      <c r="A136" t="s">
        <v>315</v>
      </c>
      <c r="B136" t="s">
        <v>316</v>
      </c>
      <c r="C136">
        <v>83</v>
      </c>
      <c r="D136" t="s">
        <v>18</v>
      </c>
      <c r="E136" s="5">
        <v>45899</v>
      </c>
      <c r="F136" s="5">
        <v>45905</v>
      </c>
      <c r="G136">
        <f t="shared" si="4"/>
        <v>6</v>
      </c>
      <c r="H136" t="s">
        <v>13</v>
      </c>
      <c r="I136" t="s">
        <v>165</v>
      </c>
      <c r="J136" s="2">
        <v>17707.36</v>
      </c>
      <c r="K136" s="6">
        <v>0.9</v>
      </c>
      <c r="L136" t="s">
        <v>15</v>
      </c>
      <c r="M136" s="3">
        <f t="shared" si="5"/>
        <v>17707.36</v>
      </c>
      <c r="N136" s="9" t="str" cm="1">
        <f t="array" ref="N136">_xlfn.IFS(C136&lt;18,"Under 18",C136&lt;36,"18-35",C136&lt;51,"36-50",C136&lt;66,"51-65",C136&gt;=66,"Above 65")</f>
        <v>Above 65</v>
      </c>
      <c r="O136" s="6"/>
    </row>
    <row r="137" spans="1:15" x14ac:dyDescent="0.35">
      <c r="A137" t="s">
        <v>317</v>
      </c>
      <c r="B137" t="s">
        <v>318</v>
      </c>
      <c r="C137">
        <v>57</v>
      </c>
      <c r="D137" t="s">
        <v>12</v>
      </c>
      <c r="E137" s="5">
        <v>45619</v>
      </c>
      <c r="F137" s="5">
        <v>45632</v>
      </c>
      <c r="G137">
        <f t="shared" si="4"/>
        <v>13</v>
      </c>
      <c r="H137" t="s">
        <v>60</v>
      </c>
      <c r="I137" t="s">
        <v>97</v>
      </c>
      <c r="J137" s="2">
        <v>31874.83</v>
      </c>
      <c r="K137" s="6">
        <v>0.9</v>
      </c>
      <c r="L137" t="s">
        <v>20</v>
      </c>
      <c r="M137" s="3">
        <f t="shared" si="5"/>
        <v>0</v>
      </c>
      <c r="N137" s="9" t="str" cm="1">
        <f t="array" ref="N137">_xlfn.IFS(C137&lt;18,"Under 18",C137&lt;36,"18-35",C137&lt;51,"36-50",C137&lt;66,"51-65",C137&gt;=66,"Above 65")</f>
        <v>51-65</v>
      </c>
      <c r="O137" s="6"/>
    </row>
    <row r="138" spans="1:15" x14ac:dyDescent="0.35">
      <c r="A138" t="s">
        <v>319</v>
      </c>
      <c r="B138" t="s">
        <v>320</v>
      </c>
      <c r="C138">
        <v>50</v>
      </c>
      <c r="D138" t="s">
        <v>18</v>
      </c>
      <c r="E138" s="5">
        <v>45458</v>
      </c>
      <c r="F138" s="5">
        <v>45464</v>
      </c>
      <c r="G138">
        <f t="shared" si="4"/>
        <v>6</v>
      </c>
      <c r="H138" t="s">
        <v>31</v>
      </c>
      <c r="I138" t="s">
        <v>53</v>
      </c>
      <c r="J138" s="2">
        <v>5681.44</v>
      </c>
      <c r="K138" s="6">
        <v>0.7</v>
      </c>
      <c r="L138" t="s">
        <v>15</v>
      </c>
      <c r="M138" s="3">
        <f t="shared" si="5"/>
        <v>5681.44</v>
      </c>
      <c r="N138" s="9" t="str" cm="1">
        <f t="array" ref="N138">_xlfn.IFS(C138&lt;18,"Under 18",C138&lt;36,"18-35",C138&lt;51,"36-50",C138&lt;66,"51-65",C138&gt;=66,"Above 65")</f>
        <v>36-50</v>
      </c>
      <c r="O138" s="6"/>
    </row>
    <row r="139" spans="1:15" x14ac:dyDescent="0.35">
      <c r="A139" t="s">
        <v>321</v>
      </c>
      <c r="B139" t="s">
        <v>322</v>
      </c>
      <c r="C139">
        <v>58</v>
      </c>
      <c r="D139" t="s">
        <v>18</v>
      </c>
      <c r="E139" s="5">
        <v>45841</v>
      </c>
      <c r="F139" s="5">
        <v>45848</v>
      </c>
      <c r="G139">
        <f t="shared" si="4"/>
        <v>7</v>
      </c>
      <c r="H139" t="s">
        <v>13</v>
      </c>
      <c r="I139" t="s">
        <v>14</v>
      </c>
      <c r="J139" s="2">
        <v>17588.68</v>
      </c>
      <c r="K139" s="6">
        <v>0.9</v>
      </c>
      <c r="L139" t="s">
        <v>15</v>
      </c>
      <c r="M139" s="3">
        <f t="shared" si="5"/>
        <v>17588.68</v>
      </c>
      <c r="N139" s="9" t="str" cm="1">
        <f t="array" ref="N139">_xlfn.IFS(C139&lt;18,"Under 18",C139&lt;36,"18-35",C139&lt;51,"36-50",C139&lt;66,"51-65",C139&gt;=66,"Above 65")</f>
        <v>51-65</v>
      </c>
      <c r="O139" s="6"/>
    </row>
    <row r="140" spans="1:15" x14ac:dyDescent="0.35">
      <c r="A140" t="s">
        <v>323</v>
      </c>
      <c r="B140" t="s">
        <v>324</v>
      </c>
      <c r="C140">
        <v>58</v>
      </c>
      <c r="D140" t="s">
        <v>12</v>
      </c>
      <c r="E140" s="5">
        <v>45749</v>
      </c>
      <c r="F140" s="5">
        <v>45751</v>
      </c>
      <c r="G140">
        <f t="shared" si="4"/>
        <v>2</v>
      </c>
      <c r="H140" t="s">
        <v>31</v>
      </c>
      <c r="I140" t="s">
        <v>234</v>
      </c>
      <c r="J140" s="2">
        <v>1113.6199999999999</v>
      </c>
      <c r="K140" s="6">
        <v>0.8</v>
      </c>
      <c r="L140" t="s">
        <v>15</v>
      </c>
      <c r="M140" s="3">
        <f t="shared" si="5"/>
        <v>1113.6199999999999</v>
      </c>
      <c r="N140" s="9" t="str" cm="1">
        <f t="array" ref="N140">_xlfn.IFS(C140&lt;18,"Under 18",C140&lt;36,"18-35",C140&lt;51,"36-50",C140&lt;66,"51-65",C140&gt;=66,"Above 65")</f>
        <v>51-65</v>
      </c>
      <c r="O140" s="6"/>
    </row>
    <row r="141" spans="1:15" x14ac:dyDescent="0.35">
      <c r="A141" t="s">
        <v>325</v>
      </c>
      <c r="B141" t="s">
        <v>326</v>
      </c>
      <c r="C141">
        <v>60</v>
      </c>
      <c r="D141" t="s">
        <v>12</v>
      </c>
      <c r="E141" s="5">
        <v>45465</v>
      </c>
      <c r="F141" s="5">
        <v>45470</v>
      </c>
      <c r="G141">
        <f t="shared" si="4"/>
        <v>5</v>
      </c>
      <c r="H141" t="s">
        <v>31</v>
      </c>
      <c r="I141" t="s">
        <v>234</v>
      </c>
      <c r="J141" s="2">
        <v>3222.62</v>
      </c>
      <c r="K141" s="6">
        <v>0.9</v>
      </c>
      <c r="L141" t="s">
        <v>20</v>
      </c>
      <c r="M141" s="3">
        <f t="shared" si="5"/>
        <v>0</v>
      </c>
      <c r="N141" s="9" t="str" cm="1">
        <f t="array" ref="N141">_xlfn.IFS(C141&lt;18,"Under 18",C141&lt;36,"18-35",C141&lt;51,"36-50",C141&lt;66,"51-65",C141&gt;=66,"Above 65")</f>
        <v>51-65</v>
      </c>
      <c r="O141" s="6"/>
    </row>
    <row r="142" spans="1:15" x14ac:dyDescent="0.35">
      <c r="A142" t="s">
        <v>327</v>
      </c>
      <c r="B142" t="s">
        <v>328</v>
      </c>
      <c r="C142">
        <v>53</v>
      </c>
      <c r="D142" t="s">
        <v>18</v>
      </c>
      <c r="E142" s="5">
        <v>45481</v>
      </c>
      <c r="F142" s="5">
        <v>45486</v>
      </c>
      <c r="G142">
        <f t="shared" si="4"/>
        <v>5</v>
      </c>
      <c r="H142" t="s">
        <v>31</v>
      </c>
      <c r="I142" t="s">
        <v>32</v>
      </c>
      <c r="J142" s="2">
        <v>4276.67</v>
      </c>
      <c r="K142" s="6">
        <v>0.5</v>
      </c>
      <c r="L142" t="s">
        <v>15</v>
      </c>
      <c r="M142" s="3">
        <f t="shared" si="5"/>
        <v>4276.67</v>
      </c>
      <c r="N142" s="9" t="str" cm="1">
        <f t="array" ref="N142">_xlfn.IFS(C142&lt;18,"Under 18",C142&lt;36,"18-35",C142&lt;51,"36-50",C142&lt;66,"51-65",C142&gt;=66,"Above 65")</f>
        <v>51-65</v>
      </c>
      <c r="O142" s="6"/>
    </row>
    <row r="143" spans="1:15" x14ac:dyDescent="0.35">
      <c r="A143" t="s">
        <v>329</v>
      </c>
      <c r="B143" t="s">
        <v>330</v>
      </c>
      <c r="C143">
        <v>37</v>
      </c>
      <c r="D143" t="s">
        <v>18</v>
      </c>
      <c r="E143" s="5">
        <v>45754</v>
      </c>
      <c r="F143" s="5">
        <v>45758</v>
      </c>
      <c r="G143">
        <f t="shared" si="4"/>
        <v>4</v>
      </c>
      <c r="H143" t="s">
        <v>31</v>
      </c>
      <c r="I143" t="s">
        <v>53</v>
      </c>
      <c r="J143" s="2">
        <v>2378.61</v>
      </c>
      <c r="K143" s="6">
        <v>0.7</v>
      </c>
      <c r="L143" t="s">
        <v>15</v>
      </c>
      <c r="M143" s="3">
        <f t="shared" si="5"/>
        <v>2378.61</v>
      </c>
      <c r="N143" s="9" t="str" cm="1">
        <f t="array" ref="N143">_xlfn.IFS(C143&lt;18,"Under 18",C143&lt;36,"18-35",C143&lt;51,"36-50",C143&lt;66,"51-65",C143&gt;=66,"Above 65")</f>
        <v>36-50</v>
      </c>
      <c r="O143" s="6"/>
    </row>
    <row r="144" spans="1:15" x14ac:dyDescent="0.35">
      <c r="A144" t="s">
        <v>331</v>
      </c>
      <c r="B144" t="s">
        <v>332</v>
      </c>
      <c r="C144">
        <v>52</v>
      </c>
      <c r="D144" t="s">
        <v>12</v>
      </c>
      <c r="E144" s="5">
        <v>45295</v>
      </c>
      <c r="F144" s="5">
        <v>45296</v>
      </c>
      <c r="G144">
        <f t="shared" si="4"/>
        <v>1</v>
      </c>
      <c r="H144" t="s">
        <v>23</v>
      </c>
      <c r="I144" t="s">
        <v>333</v>
      </c>
      <c r="J144" s="2">
        <v>1802.47</v>
      </c>
      <c r="K144" s="6">
        <v>0.7</v>
      </c>
      <c r="L144" t="s">
        <v>25</v>
      </c>
      <c r="M144" s="3">
        <f t="shared" si="5"/>
        <v>0</v>
      </c>
      <c r="N144" s="9" t="str" cm="1">
        <f t="array" ref="N144">_xlfn.IFS(C144&lt;18,"Under 18",C144&lt;36,"18-35",C144&lt;51,"36-50",C144&lt;66,"51-65",C144&gt;=66,"Above 65")</f>
        <v>51-65</v>
      </c>
      <c r="O144" s="6"/>
    </row>
    <row r="145" spans="1:15" x14ac:dyDescent="0.35">
      <c r="A145" t="s">
        <v>334</v>
      </c>
      <c r="B145" t="s">
        <v>335</v>
      </c>
      <c r="C145">
        <v>64</v>
      </c>
      <c r="D145" t="s">
        <v>18</v>
      </c>
      <c r="E145" s="5">
        <v>45414</v>
      </c>
      <c r="F145" s="5">
        <v>45423</v>
      </c>
      <c r="G145">
        <f t="shared" si="4"/>
        <v>9</v>
      </c>
      <c r="H145" t="s">
        <v>13</v>
      </c>
      <c r="I145" t="s">
        <v>165</v>
      </c>
      <c r="J145" s="2">
        <v>26472.01</v>
      </c>
      <c r="K145" s="6">
        <v>0.6</v>
      </c>
      <c r="L145" t="s">
        <v>25</v>
      </c>
      <c r="M145" s="3">
        <f t="shared" si="5"/>
        <v>0</v>
      </c>
      <c r="N145" s="9" t="str" cm="1">
        <f t="array" ref="N145">_xlfn.IFS(C145&lt;18,"Under 18",C145&lt;36,"18-35",C145&lt;51,"36-50",C145&lt;66,"51-65",C145&gt;=66,"Above 65")</f>
        <v>51-65</v>
      </c>
      <c r="O145" s="6"/>
    </row>
    <row r="146" spans="1:15" x14ac:dyDescent="0.35">
      <c r="A146" t="s">
        <v>336</v>
      </c>
      <c r="B146" t="s">
        <v>337</v>
      </c>
      <c r="C146">
        <v>31</v>
      </c>
      <c r="D146" t="s">
        <v>12</v>
      </c>
      <c r="E146" s="5">
        <v>45861</v>
      </c>
      <c r="F146" s="5">
        <v>45870</v>
      </c>
      <c r="G146">
        <f t="shared" si="4"/>
        <v>9</v>
      </c>
      <c r="H146" t="s">
        <v>70</v>
      </c>
      <c r="I146" t="s">
        <v>295</v>
      </c>
      <c r="J146" s="2">
        <v>15209.42</v>
      </c>
      <c r="K146" s="6">
        <v>0.8</v>
      </c>
      <c r="L146" t="s">
        <v>20</v>
      </c>
      <c r="M146" s="3">
        <f t="shared" si="5"/>
        <v>0</v>
      </c>
      <c r="N146" s="9" t="str" cm="1">
        <f t="array" ref="N146">_xlfn.IFS(C146&lt;18,"Under 18",C146&lt;36,"18-35",C146&lt;51,"36-50",C146&lt;66,"51-65",C146&gt;=66,"Above 65")</f>
        <v>18-35</v>
      </c>
      <c r="O146" s="6"/>
    </row>
    <row r="147" spans="1:15" x14ac:dyDescent="0.35">
      <c r="A147" t="s">
        <v>338</v>
      </c>
      <c r="B147" t="s">
        <v>22</v>
      </c>
      <c r="C147">
        <v>54</v>
      </c>
      <c r="D147" t="s">
        <v>18</v>
      </c>
      <c r="E147" s="5">
        <v>45849</v>
      </c>
      <c r="F147" s="5">
        <v>45850</v>
      </c>
      <c r="G147">
        <f t="shared" si="4"/>
        <v>1</v>
      </c>
      <c r="H147" t="s">
        <v>31</v>
      </c>
      <c r="I147" t="s">
        <v>53</v>
      </c>
      <c r="J147" s="2">
        <v>683.93</v>
      </c>
      <c r="K147" s="6">
        <v>0</v>
      </c>
      <c r="L147" t="s">
        <v>20</v>
      </c>
      <c r="M147" s="3">
        <f t="shared" si="5"/>
        <v>0</v>
      </c>
      <c r="N147" s="9" t="str" cm="1">
        <f t="array" ref="N147">_xlfn.IFS(C147&lt;18,"Under 18",C147&lt;36,"18-35",C147&lt;51,"36-50",C147&lt;66,"51-65",C147&gt;=66,"Above 65")</f>
        <v>51-65</v>
      </c>
      <c r="O147" s="6"/>
    </row>
    <row r="148" spans="1:15" x14ac:dyDescent="0.35">
      <c r="A148" t="s">
        <v>339</v>
      </c>
      <c r="B148" t="s">
        <v>340</v>
      </c>
      <c r="C148">
        <v>77</v>
      </c>
      <c r="D148" t="s">
        <v>18</v>
      </c>
      <c r="E148" s="5">
        <v>45382</v>
      </c>
      <c r="F148" s="5">
        <v>45386</v>
      </c>
      <c r="G148">
        <f t="shared" si="4"/>
        <v>4</v>
      </c>
      <c r="H148" t="s">
        <v>31</v>
      </c>
      <c r="I148" t="s">
        <v>87</v>
      </c>
      <c r="J148" s="2">
        <v>2163.62</v>
      </c>
      <c r="K148" s="6">
        <v>0.6</v>
      </c>
      <c r="L148" t="s">
        <v>15</v>
      </c>
      <c r="M148" s="3">
        <f t="shared" si="5"/>
        <v>2163.62</v>
      </c>
      <c r="N148" s="9" t="str" cm="1">
        <f t="array" ref="N148">_xlfn.IFS(C148&lt;18,"Under 18",C148&lt;36,"18-35",C148&lt;51,"36-50",C148&lt;66,"51-65",C148&gt;=66,"Above 65")</f>
        <v>Above 65</v>
      </c>
      <c r="O148" s="6"/>
    </row>
    <row r="149" spans="1:15" x14ac:dyDescent="0.35">
      <c r="A149" t="s">
        <v>341</v>
      </c>
      <c r="B149" t="s">
        <v>342</v>
      </c>
      <c r="C149">
        <v>28</v>
      </c>
      <c r="D149" t="s">
        <v>18</v>
      </c>
      <c r="E149" s="5">
        <v>45904</v>
      </c>
      <c r="F149" s="5">
        <v>45907</v>
      </c>
      <c r="G149">
        <f t="shared" si="4"/>
        <v>3</v>
      </c>
      <c r="H149" t="s">
        <v>23</v>
      </c>
      <c r="I149" t="s">
        <v>82</v>
      </c>
      <c r="J149" s="2">
        <v>7033.75</v>
      </c>
      <c r="K149" s="6">
        <v>0.9</v>
      </c>
      <c r="L149" t="s">
        <v>15</v>
      </c>
      <c r="M149" s="3">
        <f t="shared" si="5"/>
        <v>7033.75</v>
      </c>
      <c r="N149" s="9" t="str" cm="1">
        <f t="array" ref="N149">_xlfn.IFS(C149&lt;18,"Under 18",C149&lt;36,"18-35",C149&lt;51,"36-50",C149&lt;66,"51-65",C149&gt;=66,"Above 65")</f>
        <v>18-35</v>
      </c>
      <c r="O149" s="6"/>
    </row>
    <row r="150" spans="1:15" x14ac:dyDescent="0.35">
      <c r="A150" t="s">
        <v>343</v>
      </c>
      <c r="B150" t="s">
        <v>344</v>
      </c>
      <c r="C150">
        <v>57</v>
      </c>
      <c r="D150" t="s">
        <v>18</v>
      </c>
      <c r="E150" s="5">
        <v>45647</v>
      </c>
      <c r="F150" s="5">
        <v>45652</v>
      </c>
      <c r="G150">
        <f t="shared" si="4"/>
        <v>5</v>
      </c>
      <c r="H150" t="s">
        <v>13</v>
      </c>
      <c r="I150" t="s">
        <v>102</v>
      </c>
      <c r="J150" s="2">
        <v>9216.99</v>
      </c>
      <c r="K150" s="6">
        <v>1</v>
      </c>
      <c r="L150" t="s">
        <v>15</v>
      </c>
      <c r="M150" s="3">
        <f t="shared" si="5"/>
        <v>9216.99</v>
      </c>
      <c r="N150" s="9" t="str" cm="1">
        <f t="array" ref="N150">_xlfn.IFS(C150&lt;18,"Under 18",C150&lt;36,"18-35",C150&lt;51,"36-50",C150&lt;66,"51-65",C150&gt;=66,"Above 65")</f>
        <v>51-65</v>
      </c>
      <c r="O150" s="6"/>
    </row>
    <row r="151" spans="1:15" x14ac:dyDescent="0.35">
      <c r="A151" t="s">
        <v>345</v>
      </c>
      <c r="B151" t="s">
        <v>346</v>
      </c>
      <c r="C151">
        <v>32</v>
      </c>
      <c r="D151" t="s">
        <v>18</v>
      </c>
      <c r="E151" s="5">
        <v>45778</v>
      </c>
      <c r="F151" s="5">
        <v>45780</v>
      </c>
      <c r="G151">
        <f t="shared" si="4"/>
        <v>2</v>
      </c>
      <c r="H151" t="s">
        <v>31</v>
      </c>
      <c r="I151" t="s">
        <v>53</v>
      </c>
      <c r="J151" s="2">
        <v>1561.35</v>
      </c>
      <c r="K151" s="6">
        <v>0.9</v>
      </c>
      <c r="L151" t="s">
        <v>25</v>
      </c>
      <c r="M151" s="3">
        <f t="shared" si="5"/>
        <v>0</v>
      </c>
      <c r="N151" s="9" t="str" cm="1">
        <f t="array" ref="N151">_xlfn.IFS(C151&lt;18,"Under 18",C151&lt;36,"18-35",C151&lt;51,"36-50",C151&lt;66,"51-65",C151&gt;=66,"Above 65")</f>
        <v>18-35</v>
      </c>
      <c r="O151" s="6"/>
    </row>
    <row r="152" spans="1:15" x14ac:dyDescent="0.35">
      <c r="A152" t="s">
        <v>347</v>
      </c>
      <c r="B152" t="s">
        <v>348</v>
      </c>
      <c r="C152">
        <v>41</v>
      </c>
      <c r="D152" t="s">
        <v>18</v>
      </c>
      <c r="E152" s="5">
        <v>45849</v>
      </c>
      <c r="F152" s="5">
        <v>45858</v>
      </c>
      <c r="G152">
        <f t="shared" si="4"/>
        <v>9</v>
      </c>
      <c r="H152" t="s">
        <v>13</v>
      </c>
      <c r="I152" t="s">
        <v>14</v>
      </c>
      <c r="J152" s="2">
        <v>24856.18</v>
      </c>
      <c r="K152" s="6">
        <v>1</v>
      </c>
      <c r="L152" t="s">
        <v>15</v>
      </c>
      <c r="M152" s="3">
        <f t="shared" si="5"/>
        <v>24856.18</v>
      </c>
      <c r="N152" s="9" t="str" cm="1">
        <f t="array" ref="N152">_xlfn.IFS(C152&lt;18,"Under 18",C152&lt;36,"18-35",C152&lt;51,"36-50",C152&lt;66,"51-65",C152&gt;=66,"Above 65")</f>
        <v>36-50</v>
      </c>
      <c r="O152" s="6"/>
    </row>
    <row r="153" spans="1:15" x14ac:dyDescent="0.35">
      <c r="A153" t="s">
        <v>349</v>
      </c>
      <c r="B153" t="s">
        <v>350</v>
      </c>
      <c r="C153">
        <v>43</v>
      </c>
      <c r="D153" t="s">
        <v>12</v>
      </c>
      <c r="E153" s="5">
        <v>45799</v>
      </c>
      <c r="F153" s="5">
        <v>45801</v>
      </c>
      <c r="G153">
        <f t="shared" si="4"/>
        <v>2</v>
      </c>
      <c r="H153" t="s">
        <v>23</v>
      </c>
      <c r="I153" t="s">
        <v>82</v>
      </c>
      <c r="J153" s="2">
        <v>2493.0500000000002</v>
      </c>
      <c r="K153" s="6">
        <v>0.9</v>
      </c>
      <c r="L153" t="s">
        <v>15</v>
      </c>
      <c r="M153" s="3">
        <f t="shared" si="5"/>
        <v>2493.0500000000002</v>
      </c>
      <c r="N153" s="9" t="str" cm="1">
        <f t="array" ref="N153">_xlfn.IFS(C153&lt;18,"Under 18",C153&lt;36,"18-35",C153&lt;51,"36-50",C153&lt;66,"51-65",C153&gt;=66,"Above 65")</f>
        <v>36-50</v>
      </c>
      <c r="O153" s="6"/>
    </row>
    <row r="154" spans="1:15" x14ac:dyDescent="0.35">
      <c r="A154" t="s">
        <v>351</v>
      </c>
      <c r="B154" t="s">
        <v>352</v>
      </c>
      <c r="C154">
        <v>49</v>
      </c>
      <c r="D154" t="s">
        <v>12</v>
      </c>
      <c r="E154" s="5">
        <v>45400</v>
      </c>
      <c r="F154" s="5">
        <v>45403</v>
      </c>
      <c r="G154">
        <f t="shared" si="4"/>
        <v>3</v>
      </c>
      <c r="H154" t="s">
        <v>23</v>
      </c>
      <c r="I154" t="s">
        <v>41</v>
      </c>
      <c r="J154" s="2">
        <v>5177.47</v>
      </c>
      <c r="K154" s="6">
        <v>0.6</v>
      </c>
      <c r="L154" t="s">
        <v>15</v>
      </c>
      <c r="M154" s="3">
        <f t="shared" si="5"/>
        <v>5177.47</v>
      </c>
      <c r="N154" s="9" t="str" cm="1">
        <f t="array" ref="N154">_xlfn.IFS(C154&lt;18,"Under 18",C154&lt;36,"18-35",C154&lt;51,"36-50",C154&lt;66,"51-65",C154&gt;=66,"Above 65")</f>
        <v>36-50</v>
      </c>
      <c r="O154" s="6"/>
    </row>
    <row r="155" spans="1:15" x14ac:dyDescent="0.35">
      <c r="A155" t="s">
        <v>353</v>
      </c>
      <c r="B155" t="s">
        <v>354</v>
      </c>
      <c r="C155">
        <v>75</v>
      </c>
      <c r="D155" t="s">
        <v>18</v>
      </c>
      <c r="E155" s="5">
        <v>45745</v>
      </c>
      <c r="F155" s="5">
        <v>45753</v>
      </c>
      <c r="G155">
        <f t="shared" si="4"/>
        <v>8</v>
      </c>
      <c r="H155" t="s">
        <v>60</v>
      </c>
      <c r="I155" t="s">
        <v>74</v>
      </c>
      <c r="J155" s="2">
        <v>12122.8</v>
      </c>
      <c r="K155" s="6">
        <v>0.8</v>
      </c>
      <c r="L155" t="s">
        <v>15</v>
      </c>
      <c r="M155" s="3">
        <f t="shared" si="5"/>
        <v>12122.8</v>
      </c>
      <c r="N155" s="9" t="str" cm="1">
        <f t="array" ref="N155">_xlfn.IFS(C155&lt;18,"Under 18",C155&lt;36,"18-35",C155&lt;51,"36-50",C155&lt;66,"51-65",C155&gt;=66,"Above 65")</f>
        <v>Above 65</v>
      </c>
      <c r="O155" s="6"/>
    </row>
    <row r="156" spans="1:15" x14ac:dyDescent="0.35">
      <c r="A156" t="s">
        <v>355</v>
      </c>
      <c r="B156" t="s">
        <v>356</v>
      </c>
      <c r="C156">
        <v>48</v>
      </c>
      <c r="D156" t="s">
        <v>12</v>
      </c>
      <c r="E156" s="5">
        <v>45542</v>
      </c>
      <c r="F156" s="5">
        <v>45546</v>
      </c>
      <c r="G156">
        <f t="shared" si="4"/>
        <v>4</v>
      </c>
      <c r="H156" t="s">
        <v>70</v>
      </c>
      <c r="I156" t="s">
        <v>157</v>
      </c>
      <c r="J156" s="2">
        <v>6625.48</v>
      </c>
      <c r="K156" s="6">
        <v>0.6</v>
      </c>
      <c r="L156" t="s">
        <v>25</v>
      </c>
      <c r="M156" s="3">
        <f t="shared" si="5"/>
        <v>0</v>
      </c>
      <c r="N156" s="9" t="str" cm="1">
        <f t="array" ref="N156">_xlfn.IFS(C156&lt;18,"Under 18",C156&lt;36,"18-35",C156&lt;51,"36-50",C156&lt;66,"51-65",C156&gt;=66,"Above 65")</f>
        <v>36-50</v>
      </c>
      <c r="O156" s="6"/>
    </row>
    <row r="157" spans="1:15" x14ac:dyDescent="0.35">
      <c r="A157" t="s">
        <v>357</v>
      </c>
      <c r="B157" t="s">
        <v>358</v>
      </c>
      <c r="C157">
        <v>72</v>
      </c>
      <c r="D157" t="s">
        <v>12</v>
      </c>
      <c r="E157" s="5">
        <v>45496</v>
      </c>
      <c r="F157" s="5">
        <v>45505</v>
      </c>
      <c r="G157">
        <f t="shared" si="4"/>
        <v>9</v>
      </c>
      <c r="H157" t="s">
        <v>60</v>
      </c>
      <c r="I157" t="s">
        <v>77</v>
      </c>
      <c r="J157" s="2">
        <v>17423.45</v>
      </c>
      <c r="K157" s="6">
        <v>0.7</v>
      </c>
      <c r="L157" t="s">
        <v>25</v>
      </c>
      <c r="M157" s="3">
        <f t="shared" si="5"/>
        <v>0</v>
      </c>
      <c r="N157" s="9" t="str" cm="1">
        <f t="array" ref="N157">_xlfn.IFS(C157&lt;18,"Under 18",C157&lt;36,"18-35",C157&lt;51,"36-50",C157&lt;66,"51-65",C157&gt;=66,"Above 65")</f>
        <v>Above 65</v>
      </c>
      <c r="O157" s="6"/>
    </row>
    <row r="158" spans="1:15" x14ac:dyDescent="0.35">
      <c r="A158" t="s">
        <v>359</v>
      </c>
      <c r="B158" t="s">
        <v>360</v>
      </c>
      <c r="C158">
        <v>65</v>
      </c>
      <c r="D158" t="s">
        <v>12</v>
      </c>
      <c r="E158" s="5">
        <v>45469</v>
      </c>
      <c r="F158" s="5">
        <v>45478</v>
      </c>
      <c r="G158">
        <f t="shared" si="4"/>
        <v>9</v>
      </c>
      <c r="H158" t="s">
        <v>13</v>
      </c>
      <c r="I158" t="s">
        <v>19</v>
      </c>
      <c r="J158" s="2">
        <v>13753.53</v>
      </c>
      <c r="K158" s="6">
        <v>0.9</v>
      </c>
      <c r="L158" t="s">
        <v>20</v>
      </c>
      <c r="M158" s="3">
        <f t="shared" si="5"/>
        <v>0</v>
      </c>
      <c r="N158" s="9" t="str" cm="1">
        <f t="array" ref="N158">_xlfn.IFS(C158&lt;18,"Under 18",C158&lt;36,"18-35",C158&lt;51,"36-50",C158&lt;66,"51-65",C158&gt;=66,"Above 65")</f>
        <v>51-65</v>
      </c>
      <c r="O158" s="6"/>
    </row>
    <row r="159" spans="1:15" x14ac:dyDescent="0.35">
      <c r="A159" t="s">
        <v>361</v>
      </c>
      <c r="B159" t="s">
        <v>250</v>
      </c>
      <c r="C159">
        <v>44</v>
      </c>
      <c r="D159" t="s">
        <v>12</v>
      </c>
      <c r="E159" s="5">
        <v>45926</v>
      </c>
      <c r="F159" s="5">
        <v>45936</v>
      </c>
      <c r="G159">
        <f t="shared" si="4"/>
        <v>10</v>
      </c>
      <c r="H159" t="s">
        <v>13</v>
      </c>
      <c r="I159" t="s">
        <v>14</v>
      </c>
      <c r="J159" s="2">
        <v>18100.37</v>
      </c>
      <c r="K159" s="6">
        <v>0.8</v>
      </c>
      <c r="L159" t="s">
        <v>15</v>
      </c>
      <c r="M159" s="3">
        <f t="shared" si="5"/>
        <v>18100.37</v>
      </c>
      <c r="N159" s="9" t="str" cm="1">
        <f t="array" ref="N159">_xlfn.IFS(C159&lt;18,"Under 18",C159&lt;36,"18-35",C159&lt;51,"36-50",C159&lt;66,"51-65",C159&gt;=66,"Above 65")</f>
        <v>36-50</v>
      </c>
      <c r="O159" s="6"/>
    </row>
    <row r="160" spans="1:15" x14ac:dyDescent="0.35">
      <c r="A160" t="s">
        <v>362</v>
      </c>
      <c r="B160" t="s">
        <v>363</v>
      </c>
      <c r="C160">
        <v>48</v>
      </c>
      <c r="D160" t="s">
        <v>18</v>
      </c>
      <c r="E160" s="5">
        <v>45540</v>
      </c>
      <c r="F160" s="5">
        <v>45547</v>
      </c>
      <c r="G160">
        <f t="shared" si="4"/>
        <v>7</v>
      </c>
      <c r="H160" t="s">
        <v>60</v>
      </c>
      <c r="I160" t="s">
        <v>133</v>
      </c>
      <c r="J160" s="2">
        <v>16172.66</v>
      </c>
      <c r="K160" s="6">
        <v>0.7</v>
      </c>
      <c r="L160" t="s">
        <v>20</v>
      </c>
      <c r="M160" s="3">
        <f t="shared" si="5"/>
        <v>0</v>
      </c>
      <c r="N160" s="9" t="str" cm="1">
        <f t="array" ref="N160">_xlfn.IFS(C160&lt;18,"Under 18",C160&lt;36,"18-35",C160&lt;51,"36-50",C160&lt;66,"51-65",C160&gt;=66,"Above 65")</f>
        <v>36-50</v>
      </c>
      <c r="O160" s="6"/>
    </row>
    <row r="161" spans="1:15" x14ac:dyDescent="0.35">
      <c r="A161" t="s">
        <v>364</v>
      </c>
      <c r="B161" t="s">
        <v>365</v>
      </c>
      <c r="C161">
        <v>43</v>
      </c>
      <c r="D161" t="s">
        <v>18</v>
      </c>
      <c r="E161" s="5">
        <v>45514</v>
      </c>
      <c r="F161" s="5">
        <v>45521</v>
      </c>
      <c r="G161">
        <f t="shared" si="4"/>
        <v>7</v>
      </c>
      <c r="H161" t="s">
        <v>31</v>
      </c>
      <c r="I161" t="s">
        <v>44</v>
      </c>
      <c r="J161" s="2">
        <v>7133.08</v>
      </c>
      <c r="K161" s="6">
        <v>0.9</v>
      </c>
      <c r="L161" t="s">
        <v>20</v>
      </c>
      <c r="M161" s="3">
        <f t="shared" si="5"/>
        <v>0</v>
      </c>
      <c r="N161" s="9" t="str" cm="1">
        <f t="array" ref="N161">_xlfn.IFS(C161&lt;18,"Under 18",C161&lt;36,"18-35",C161&lt;51,"36-50",C161&lt;66,"51-65",C161&gt;=66,"Above 65")</f>
        <v>36-50</v>
      </c>
      <c r="O161" s="6"/>
    </row>
    <row r="162" spans="1:15" x14ac:dyDescent="0.35">
      <c r="A162" t="s">
        <v>366</v>
      </c>
      <c r="B162" t="s">
        <v>367</v>
      </c>
      <c r="C162">
        <v>48</v>
      </c>
      <c r="D162" t="s">
        <v>12</v>
      </c>
      <c r="E162" s="5">
        <v>46013</v>
      </c>
      <c r="F162" s="5">
        <v>46023</v>
      </c>
      <c r="G162">
        <f t="shared" si="4"/>
        <v>10</v>
      </c>
      <c r="H162" t="s">
        <v>13</v>
      </c>
      <c r="I162" t="s">
        <v>14</v>
      </c>
      <c r="J162" s="2">
        <v>27699.3</v>
      </c>
      <c r="K162" s="6">
        <v>0.5</v>
      </c>
      <c r="L162" t="s">
        <v>20</v>
      </c>
      <c r="M162" s="3">
        <f t="shared" si="5"/>
        <v>0</v>
      </c>
      <c r="N162" s="9" t="str" cm="1">
        <f t="array" ref="N162">_xlfn.IFS(C162&lt;18,"Under 18",C162&lt;36,"18-35",C162&lt;51,"36-50",C162&lt;66,"51-65",C162&gt;=66,"Above 65")</f>
        <v>36-50</v>
      </c>
      <c r="O162" s="6"/>
    </row>
    <row r="163" spans="1:15" x14ac:dyDescent="0.35">
      <c r="A163" t="s">
        <v>368</v>
      </c>
      <c r="B163" t="s">
        <v>369</v>
      </c>
      <c r="C163">
        <v>77</v>
      </c>
      <c r="D163" t="s">
        <v>12</v>
      </c>
      <c r="E163" s="5">
        <v>45475</v>
      </c>
      <c r="F163" s="5">
        <v>45476</v>
      </c>
      <c r="G163">
        <f t="shared" si="4"/>
        <v>1</v>
      </c>
      <c r="H163" t="s">
        <v>23</v>
      </c>
      <c r="I163" t="s">
        <v>24</v>
      </c>
      <c r="J163" s="2">
        <v>1403.37</v>
      </c>
      <c r="K163" s="6">
        <v>0.8</v>
      </c>
      <c r="L163" t="s">
        <v>20</v>
      </c>
      <c r="M163" s="3">
        <f t="shared" si="5"/>
        <v>0</v>
      </c>
      <c r="N163" s="9" t="str" cm="1">
        <f t="array" ref="N163">_xlfn.IFS(C163&lt;18,"Under 18",C163&lt;36,"18-35",C163&lt;51,"36-50",C163&lt;66,"51-65",C163&gt;=66,"Above 65")</f>
        <v>Above 65</v>
      </c>
      <c r="O163" s="6"/>
    </row>
    <row r="164" spans="1:15" x14ac:dyDescent="0.35">
      <c r="A164" t="s">
        <v>370</v>
      </c>
      <c r="B164" t="s">
        <v>348</v>
      </c>
      <c r="C164">
        <v>69</v>
      </c>
      <c r="D164" t="s">
        <v>18</v>
      </c>
      <c r="E164" s="5">
        <v>45417</v>
      </c>
      <c r="F164" s="5">
        <v>45420</v>
      </c>
      <c r="G164">
        <f t="shared" si="4"/>
        <v>3</v>
      </c>
      <c r="H164" t="s">
        <v>23</v>
      </c>
      <c r="I164" t="s">
        <v>204</v>
      </c>
      <c r="J164" s="2">
        <v>3350.67</v>
      </c>
      <c r="K164" s="6">
        <v>0.8</v>
      </c>
      <c r="L164" t="s">
        <v>20</v>
      </c>
      <c r="M164" s="3">
        <f t="shared" si="5"/>
        <v>0</v>
      </c>
      <c r="N164" s="9" t="str" cm="1">
        <f t="array" ref="N164">_xlfn.IFS(C164&lt;18,"Under 18",C164&lt;36,"18-35",C164&lt;51,"36-50",C164&lt;66,"51-65",C164&gt;=66,"Above 65")</f>
        <v>Above 65</v>
      </c>
      <c r="O164" s="6"/>
    </row>
    <row r="165" spans="1:15" x14ac:dyDescent="0.35">
      <c r="A165" t="s">
        <v>371</v>
      </c>
      <c r="B165" t="s">
        <v>372</v>
      </c>
      <c r="C165">
        <v>52</v>
      </c>
      <c r="D165" t="s">
        <v>18</v>
      </c>
      <c r="E165" s="5">
        <v>45324</v>
      </c>
      <c r="F165" s="5">
        <v>45326</v>
      </c>
      <c r="G165">
        <f t="shared" si="4"/>
        <v>2</v>
      </c>
      <c r="H165" t="s">
        <v>23</v>
      </c>
      <c r="I165" t="s">
        <v>204</v>
      </c>
      <c r="J165" s="2">
        <v>2922.92</v>
      </c>
      <c r="K165" s="6">
        <v>1</v>
      </c>
      <c r="L165" t="s">
        <v>20</v>
      </c>
      <c r="M165" s="3">
        <f t="shared" si="5"/>
        <v>0</v>
      </c>
      <c r="N165" s="9" t="str" cm="1">
        <f t="array" ref="N165">_xlfn.IFS(C165&lt;18,"Under 18",C165&lt;36,"18-35",C165&lt;51,"36-50",C165&lt;66,"51-65",C165&gt;=66,"Above 65")</f>
        <v>51-65</v>
      </c>
      <c r="O165" s="6"/>
    </row>
    <row r="166" spans="1:15" x14ac:dyDescent="0.35">
      <c r="A166" t="s">
        <v>373</v>
      </c>
      <c r="B166" t="s">
        <v>374</v>
      </c>
      <c r="C166">
        <v>67</v>
      </c>
      <c r="D166" t="s">
        <v>18</v>
      </c>
      <c r="E166" s="5">
        <v>45617</v>
      </c>
      <c r="F166" s="5">
        <v>45619</v>
      </c>
      <c r="G166">
        <f t="shared" si="4"/>
        <v>2</v>
      </c>
      <c r="H166" t="s">
        <v>23</v>
      </c>
      <c r="I166" t="s">
        <v>204</v>
      </c>
      <c r="J166" s="2">
        <v>2127.71</v>
      </c>
      <c r="K166" s="6">
        <v>0.9</v>
      </c>
      <c r="L166" t="s">
        <v>25</v>
      </c>
      <c r="M166" s="3">
        <f t="shared" si="5"/>
        <v>0</v>
      </c>
      <c r="N166" s="9" t="str" cm="1">
        <f t="array" ref="N166">_xlfn.IFS(C166&lt;18,"Under 18",C166&lt;36,"18-35",C166&lt;51,"36-50",C166&lt;66,"51-65",C166&gt;=66,"Above 65")</f>
        <v>Above 65</v>
      </c>
      <c r="O166" s="6"/>
    </row>
    <row r="167" spans="1:15" x14ac:dyDescent="0.35">
      <c r="A167" t="s">
        <v>375</v>
      </c>
      <c r="B167" t="s">
        <v>220</v>
      </c>
      <c r="C167">
        <v>75</v>
      </c>
      <c r="D167" t="s">
        <v>18</v>
      </c>
      <c r="E167" s="5">
        <v>45913</v>
      </c>
      <c r="F167" s="5">
        <v>45922</v>
      </c>
      <c r="G167">
        <f t="shared" si="4"/>
        <v>9</v>
      </c>
      <c r="H167" t="s">
        <v>13</v>
      </c>
      <c r="I167" t="s">
        <v>165</v>
      </c>
      <c r="J167" s="2">
        <v>15507.09</v>
      </c>
      <c r="K167" s="6">
        <v>0.9</v>
      </c>
      <c r="L167" t="s">
        <v>15</v>
      </c>
      <c r="M167" s="3">
        <f t="shared" si="5"/>
        <v>15507.09</v>
      </c>
      <c r="N167" s="9" t="str" cm="1">
        <f t="array" ref="N167">_xlfn.IFS(C167&lt;18,"Under 18",C167&lt;36,"18-35",C167&lt;51,"36-50",C167&lt;66,"51-65",C167&gt;=66,"Above 65")</f>
        <v>Above 65</v>
      </c>
      <c r="O167" s="6"/>
    </row>
    <row r="168" spans="1:15" x14ac:dyDescent="0.35">
      <c r="A168" t="s">
        <v>376</v>
      </c>
      <c r="B168" t="s">
        <v>377</v>
      </c>
      <c r="C168">
        <v>3</v>
      </c>
      <c r="D168" t="s">
        <v>12</v>
      </c>
      <c r="E168" s="5">
        <v>45884</v>
      </c>
      <c r="F168" s="5">
        <v>45886</v>
      </c>
      <c r="G168">
        <f t="shared" si="4"/>
        <v>2</v>
      </c>
      <c r="H168" t="s">
        <v>49</v>
      </c>
      <c r="I168" t="s">
        <v>378</v>
      </c>
      <c r="J168" s="2">
        <v>2767.57</v>
      </c>
      <c r="K168" s="6">
        <v>0.5</v>
      </c>
      <c r="L168" t="s">
        <v>15</v>
      </c>
      <c r="M168" s="3">
        <f t="shared" si="5"/>
        <v>2767.57</v>
      </c>
      <c r="N168" s="9" t="str" cm="1">
        <f t="array" ref="N168">_xlfn.IFS(C168&lt;18,"Under 18",C168&lt;36,"18-35",C168&lt;51,"36-50",C168&lt;66,"51-65",C168&gt;=66,"Above 65")</f>
        <v>Under 18</v>
      </c>
      <c r="O168" s="6"/>
    </row>
    <row r="169" spans="1:15" x14ac:dyDescent="0.35">
      <c r="A169" t="s">
        <v>379</v>
      </c>
      <c r="B169" t="s">
        <v>380</v>
      </c>
      <c r="C169">
        <v>82</v>
      </c>
      <c r="D169" t="s">
        <v>18</v>
      </c>
      <c r="E169" s="5">
        <v>45869</v>
      </c>
      <c r="F169" s="5">
        <v>45870</v>
      </c>
      <c r="G169">
        <f t="shared" si="4"/>
        <v>1</v>
      </c>
      <c r="H169" t="s">
        <v>23</v>
      </c>
      <c r="I169" t="s">
        <v>24</v>
      </c>
      <c r="J169" s="2">
        <v>1998.09</v>
      </c>
      <c r="K169" s="6">
        <v>0.8</v>
      </c>
      <c r="L169" t="s">
        <v>15</v>
      </c>
      <c r="M169" s="3">
        <f t="shared" si="5"/>
        <v>1998.09</v>
      </c>
      <c r="N169" s="9" t="str" cm="1">
        <f t="array" ref="N169">_xlfn.IFS(C169&lt;18,"Under 18",C169&lt;36,"18-35",C169&lt;51,"36-50",C169&lt;66,"51-65",C169&gt;=66,"Above 65")</f>
        <v>Above 65</v>
      </c>
      <c r="O169" s="6"/>
    </row>
    <row r="170" spans="1:15" x14ac:dyDescent="0.35">
      <c r="A170" t="s">
        <v>381</v>
      </c>
      <c r="B170" t="s">
        <v>382</v>
      </c>
      <c r="C170">
        <v>16</v>
      </c>
      <c r="D170" t="s">
        <v>18</v>
      </c>
      <c r="E170" s="5">
        <v>45748</v>
      </c>
      <c r="F170" s="5">
        <v>45753</v>
      </c>
      <c r="G170">
        <f t="shared" si="4"/>
        <v>5</v>
      </c>
      <c r="H170" t="s">
        <v>49</v>
      </c>
      <c r="I170" t="s">
        <v>130</v>
      </c>
      <c r="J170" s="2">
        <v>6351.72</v>
      </c>
      <c r="K170" s="6">
        <v>0.6</v>
      </c>
      <c r="L170" t="s">
        <v>15</v>
      </c>
      <c r="M170" s="3">
        <f t="shared" si="5"/>
        <v>6351.72</v>
      </c>
      <c r="N170" s="9" t="str" cm="1">
        <f t="array" ref="N170">_xlfn.IFS(C170&lt;18,"Under 18",C170&lt;36,"18-35",C170&lt;51,"36-50",C170&lt;66,"51-65",C170&gt;=66,"Above 65")</f>
        <v>Under 18</v>
      </c>
      <c r="O170" s="6"/>
    </row>
    <row r="171" spans="1:15" x14ac:dyDescent="0.35">
      <c r="A171" t="s">
        <v>383</v>
      </c>
      <c r="B171" t="s">
        <v>384</v>
      </c>
      <c r="C171">
        <v>47</v>
      </c>
      <c r="D171" t="s">
        <v>12</v>
      </c>
      <c r="E171" s="5">
        <v>45697</v>
      </c>
      <c r="F171" s="5">
        <v>45699</v>
      </c>
      <c r="G171">
        <f t="shared" si="4"/>
        <v>2</v>
      </c>
      <c r="H171" t="s">
        <v>23</v>
      </c>
      <c r="I171" t="s">
        <v>41</v>
      </c>
      <c r="J171" s="2">
        <v>2177.35</v>
      </c>
      <c r="K171" s="6">
        <v>0.8</v>
      </c>
      <c r="L171" t="s">
        <v>15</v>
      </c>
      <c r="M171" s="3">
        <f t="shared" si="5"/>
        <v>2177.35</v>
      </c>
      <c r="N171" s="9" t="str" cm="1">
        <f t="array" ref="N171">_xlfn.IFS(C171&lt;18,"Under 18",C171&lt;36,"18-35",C171&lt;51,"36-50",C171&lt;66,"51-65",C171&gt;=66,"Above 65")</f>
        <v>36-50</v>
      </c>
      <c r="O171" s="6"/>
    </row>
    <row r="172" spans="1:15" x14ac:dyDescent="0.35">
      <c r="A172" t="s">
        <v>385</v>
      </c>
      <c r="B172" t="s">
        <v>386</v>
      </c>
      <c r="C172">
        <v>52</v>
      </c>
      <c r="D172" t="s">
        <v>18</v>
      </c>
      <c r="E172" s="5">
        <v>45820</v>
      </c>
      <c r="F172" s="5">
        <v>45823</v>
      </c>
      <c r="G172">
        <f t="shared" si="4"/>
        <v>3</v>
      </c>
      <c r="H172" t="s">
        <v>13</v>
      </c>
      <c r="I172" t="s">
        <v>19</v>
      </c>
      <c r="J172" s="2">
        <v>4484.95</v>
      </c>
      <c r="K172" s="6">
        <v>0.8</v>
      </c>
      <c r="L172" t="s">
        <v>15</v>
      </c>
      <c r="M172" s="3">
        <f t="shared" si="5"/>
        <v>4484.95</v>
      </c>
      <c r="N172" s="9" t="str" cm="1">
        <f t="array" ref="N172">_xlfn.IFS(C172&lt;18,"Under 18",C172&lt;36,"18-35",C172&lt;51,"36-50",C172&lt;66,"51-65",C172&gt;=66,"Above 65")</f>
        <v>51-65</v>
      </c>
      <c r="O172" s="6"/>
    </row>
    <row r="173" spans="1:15" x14ac:dyDescent="0.35">
      <c r="A173" t="s">
        <v>387</v>
      </c>
      <c r="B173" t="s">
        <v>388</v>
      </c>
      <c r="C173">
        <v>81</v>
      </c>
      <c r="D173" t="s">
        <v>12</v>
      </c>
      <c r="E173" s="5">
        <v>45532</v>
      </c>
      <c r="F173" s="5">
        <v>45534</v>
      </c>
      <c r="G173">
        <f t="shared" si="4"/>
        <v>2</v>
      </c>
      <c r="H173" t="s">
        <v>23</v>
      </c>
      <c r="I173" t="s">
        <v>221</v>
      </c>
      <c r="J173" s="2">
        <v>3381.88</v>
      </c>
      <c r="K173" s="6">
        <v>0.9</v>
      </c>
      <c r="L173" t="s">
        <v>15</v>
      </c>
      <c r="M173" s="3">
        <f t="shared" si="5"/>
        <v>3381.88</v>
      </c>
      <c r="N173" s="9" t="str" cm="1">
        <f t="array" ref="N173">_xlfn.IFS(C173&lt;18,"Under 18",C173&lt;36,"18-35",C173&lt;51,"36-50",C173&lt;66,"51-65",C173&gt;=66,"Above 65")</f>
        <v>Above 65</v>
      </c>
      <c r="O173" s="6"/>
    </row>
    <row r="174" spans="1:15" x14ac:dyDescent="0.35">
      <c r="A174" t="s">
        <v>389</v>
      </c>
      <c r="B174" t="s">
        <v>390</v>
      </c>
      <c r="C174">
        <v>60</v>
      </c>
      <c r="D174" t="s">
        <v>12</v>
      </c>
      <c r="E174" s="5">
        <v>45831</v>
      </c>
      <c r="F174" s="5">
        <v>45836</v>
      </c>
      <c r="G174">
        <f t="shared" si="4"/>
        <v>5</v>
      </c>
      <c r="H174" t="s">
        <v>60</v>
      </c>
      <c r="I174" t="s">
        <v>97</v>
      </c>
      <c r="J174" s="2">
        <v>11601.6</v>
      </c>
      <c r="K174" s="6">
        <v>0.7</v>
      </c>
      <c r="L174" t="s">
        <v>20</v>
      </c>
      <c r="M174" s="3">
        <f t="shared" si="5"/>
        <v>0</v>
      </c>
      <c r="N174" s="9" t="str" cm="1">
        <f t="array" ref="N174">_xlfn.IFS(C174&lt;18,"Under 18",C174&lt;36,"18-35",C174&lt;51,"36-50",C174&lt;66,"51-65",C174&gt;=66,"Above 65")</f>
        <v>51-65</v>
      </c>
      <c r="O174" s="6"/>
    </row>
    <row r="175" spans="1:15" x14ac:dyDescent="0.35">
      <c r="A175" t="s">
        <v>391</v>
      </c>
      <c r="B175" t="s">
        <v>392</v>
      </c>
      <c r="C175">
        <v>82</v>
      </c>
      <c r="D175" t="s">
        <v>18</v>
      </c>
      <c r="E175" s="5">
        <v>45717</v>
      </c>
      <c r="F175" s="5">
        <v>45719</v>
      </c>
      <c r="G175">
        <f t="shared" si="4"/>
        <v>2</v>
      </c>
      <c r="H175" t="s">
        <v>23</v>
      </c>
      <c r="I175" t="s">
        <v>24</v>
      </c>
      <c r="J175" s="2">
        <v>2198.17</v>
      </c>
      <c r="K175" s="6">
        <v>0.9</v>
      </c>
      <c r="L175" t="s">
        <v>15</v>
      </c>
      <c r="M175" s="3">
        <f t="shared" si="5"/>
        <v>2198.17</v>
      </c>
      <c r="N175" s="9" t="str" cm="1">
        <f t="array" ref="N175">_xlfn.IFS(C175&lt;18,"Under 18",C175&lt;36,"18-35",C175&lt;51,"36-50",C175&lt;66,"51-65",C175&gt;=66,"Above 65")</f>
        <v>Above 65</v>
      </c>
      <c r="O175" s="6"/>
    </row>
    <row r="176" spans="1:15" x14ac:dyDescent="0.35">
      <c r="A176" t="s">
        <v>393</v>
      </c>
      <c r="B176" t="s">
        <v>394</v>
      </c>
      <c r="C176">
        <v>34</v>
      </c>
      <c r="D176" t="s">
        <v>18</v>
      </c>
      <c r="E176" s="5">
        <v>45934</v>
      </c>
      <c r="F176" s="5">
        <v>45947</v>
      </c>
      <c r="G176">
        <f t="shared" si="4"/>
        <v>13</v>
      </c>
      <c r="H176" t="s">
        <v>60</v>
      </c>
      <c r="I176" t="s">
        <v>74</v>
      </c>
      <c r="J176" s="2">
        <v>35611.43</v>
      </c>
      <c r="K176" s="6">
        <v>0.7</v>
      </c>
      <c r="L176" t="s">
        <v>15</v>
      </c>
      <c r="M176" s="3">
        <f t="shared" si="5"/>
        <v>35611.43</v>
      </c>
      <c r="N176" s="9" t="str" cm="1">
        <f t="array" ref="N176">_xlfn.IFS(C176&lt;18,"Under 18",C176&lt;36,"18-35",C176&lt;51,"36-50",C176&lt;66,"51-65",C176&gt;=66,"Above 65")</f>
        <v>18-35</v>
      </c>
      <c r="O176" s="6"/>
    </row>
    <row r="177" spans="1:15" x14ac:dyDescent="0.35">
      <c r="A177" t="s">
        <v>395</v>
      </c>
      <c r="B177" t="s">
        <v>396</v>
      </c>
      <c r="C177">
        <v>55</v>
      </c>
      <c r="D177" t="s">
        <v>12</v>
      </c>
      <c r="E177" s="5">
        <v>45798</v>
      </c>
      <c r="F177" s="5">
        <v>45803</v>
      </c>
      <c r="G177">
        <f t="shared" si="4"/>
        <v>5</v>
      </c>
      <c r="H177" t="s">
        <v>13</v>
      </c>
      <c r="I177" t="s">
        <v>111</v>
      </c>
      <c r="J177" s="2">
        <v>8093.35</v>
      </c>
      <c r="K177" s="6">
        <v>1</v>
      </c>
      <c r="L177" t="s">
        <v>25</v>
      </c>
      <c r="M177" s="3">
        <f t="shared" si="5"/>
        <v>0</v>
      </c>
      <c r="N177" s="9" t="str" cm="1">
        <f t="array" ref="N177">_xlfn.IFS(C177&lt;18,"Under 18",C177&lt;36,"18-35",C177&lt;51,"36-50",C177&lt;66,"51-65",C177&gt;=66,"Above 65")</f>
        <v>51-65</v>
      </c>
      <c r="O177" s="6"/>
    </row>
    <row r="178" spans="1:15" x14ac:dyDescent="0.35">
      <c r="A178" t="s">
        <v>397</v>
      </c>
      <c r="B178" t="s">
        <v>398</v>
      </c>
      <c r="C178">
        <v>69</v>
      </c>
      <c r="D178" t="s">
        <v>12</v>
      </c>
      <c r="E178" s="5">
        <v>45333</v>
      </c>
      <c r="F178" s="5">
        <v>45341</v>
      </c>
      <c r="G178">
        <f t="shared" si="4"/>
        <v>8</v>
      </c>
      <c r="H178" t="s">
        <v>70</v>
      </c>
      <c r="I178" t="s">
        <v>237</v>
      </c>
      <c r="J178" s="2">
        <v>15311.93</v>
      </c>
      <c r="K178" s="6">
        <v>0.6</v>
      </c>
      <c r="L178" t="s">
        <v>20</v>
      </c>
      <c r="M178" s="3">
        <f t="shared" si="5"/>
        <v>0</v>
      </c>
      <c r="N178" s="9" t="str" cm="1">
        <f t="array" ref="N178">_xlfn.IFS(C178&lt;18,"Under 18",C178&lt;36,"18-35",C178&lt;51,"36-50",C178&lt;66,"51-65",C178&gt;=66,"Above 65")</f>
        <v>Above 65</v>
      </c>
      <c r="O178" s="6"/>
    </row>
    <row r="179" spans="1:15" x14ac:dyDescent="0.35">
      <c r="A179" t="s">
        <v>399</v>
      </c>
      <c r="B179" t="s">
        <v>400</v>
      </c>
      <c r="C179">
        <v>59</v>
      </c>
      <c r="D179" t="s">
        <v>18</v>
      </c>
      <c r="E179" s="5">
        <v>45575</v>
      </c>
      <c r="F179" s="5">
        <v>45578</v>
      </c>
      <c r="G179">
        <f t="shared" si="4"/>
        <v>3</v>
      </c>
      <c r="H179" t="s">
        <v>23</v>
      </c>
      <c r="I179" t="s">
        <v>24</v>
      </c>
      <c r="J179" s="2">
        <v>4201.93</v>
      </c>
      <c r="K179" s="6">
        <v>0.8</v>
      </c>
      <c r="L179" t="s">
        <v>15</v>
      </c>
      <c r="M179" s="3">
        <f t="shared" si="5"/>
        <v>4201.93</v>
      </c>
      <c r="N179" s="9" t="str" cm="1">
        <f t="array" ref="N179">_xlfn.IFS(C179&lt;18,"Under 18",C179&lt;36,"18-35",C179&lt;51,"36-50",C179&lt;66,"51-65",C179&gt;=66,"Above 65")</f>
        <v>51-65</v>
      </c>
      <c r="O179" s="6"/>
    </row>
    <row r="180" spans="1:15" x14ac:dyDescent="0.35">
      <c r="A180" t="s">
        <v>401</v>
      </c>
      <c r="B180" t="s">
        <v>402</v>
      </c>
      <c r="C180">
        <v>51</v>
      </c>
      <c r="D180" t="s">
        <v>18</v>
      </c>
      <c r="E180" s="5">
        <v>45959</v>
      </c>
      <c r="F180" s="5">
        <v>45968</v>
      </c>
      <c r="G180">
        <f t="shared" si="4"/>
        <v>9</v>
      </c>
      <c r="H180" t="s">
        <v>60</v>
      </c>
      <c r="I180" t="s">
        <v>142</v>
      </c>
      <c r="J180" s="2">
        <v>12277.27</v>
      </c>
      <c r="K180" s="6">
        <v>0.9</v>
      </c>
      <c r="L180" t="s">
        <v>15</v>
      </c>
      <c r="M180" s="3">
        <f t="shared" si="5"/>
        <v>12277.27</v>
      </c>
      <c r="N180" s="9" t="str" cm="1">
        <f t="array" ref="N180">_xlfn.IFS(C180&lt;18,"Under 18",C180&lt;36,"18-35",C180&lt;51,"36-50",C180&lt;66,"51-65",C180&gt;=66,"Above 65")</f>
        <v>51-65</v>
      </c>
      <c r="O180" s="6"/>
    </row>
    <row r="181" spans="1:15" x14ac:dyDescent="0.35">
      <c r="A181" t="s">
        <v>403</v>
      </c>
      <c r="B181" t="s">
        <v>404</v>
      </c>
      <c r="C181">
        <v>7</v>
      </c>
      <c r="D181" t="s">
        <v>18</v>
      </c>
      <c r="E181" s="5">
        <v>45785</v>
      </c>
      <c r="F181" s="5">
        <v>45789</v>
      </c>
      <c r="G181">
        <f t="shared" si="4"/>
        <v>4</v>
      </c>
      <c r="H181" t="s">
        <v>49</v>
      </c>
      <c r="I181" t="s">
        <v>123</v>
      </c>
      <c r="J181" s="2">
        <v>4150.83</v>
      </c>
      <c r="K181" s="6">
        <v>0.7</v>
      </c>
      <c r="L181" t="s">
        <v>20</v>
      </c>
      <c r="M181" s="3">
        <f t="shared" si="5"/>
        <v>0</v>
      </c>
      <c r="N181" s="9" t="str" cm="1">
        <f t="array" ref="N181">_xlfn.IFS(C181&lt;18,"Under 18",C181&lt;36,"18-35",C181&lt;51,"36-50",C181&lt;66,"51-65",C181&gt;=66,"Above 65")</f>
        <v>Under 18</v>
      </c>
      <c r="O181" s="6"/>
    </row>
    <row r="182" spans="1:15" x14ac:dyDescent="0.35">
      <c r="A182" t="s">
        <v>405</v>
      </c>
      <c r="B182" t="s">
        <v>406</v>
      </c>
      <c r="C182">
        <v>27</v>
      </c>
      <c r="D182" t="s">
        <v>12</v>
      </c>
      <c r="E182" s="5">
        <v>45300</v>
      </c>
      <c r="F182" s="5">
        <v>45303</v>
      </c>
      <c r="G182">
        <f t="shared" si="4"/>
        <v>3</v>
      </c>
      <c r="H182" t="s">
        <v>31</v>
      </c>
      <c r="I182" t="s">
        <v>234</v>
      </c>
      <c r="J182" s="2">
        <v>2123.81</v>
      </c>
      <c r="K182" s="6">
        <v>1</v>
      </c>
      <c r="L182" t="s">
        <v>15</v>
      </c>
      <c r="M182" s="3">
        <f t="shared" si="5"/>
        <v>2123.81</v>
      </c>
      <c r="N182" s="9" t="str" cm="1">
        <f t="array" ref="N182">_xlfn.IFS(C182&lt;18,"Under 18",C182&lt;36,"18-35",C182&lt;51,"36-50",C182&lt;66,"51-65",C182&gt;=66,"Above 65")</f>
        <v>18-35</v>
      </c>
      <c r="O182" s="6"/>
    </row>
    <row r="183" spans="1:15" x14ac:dyDescent="0.35">
      <c r="A183" t="s">
        <v>407</v>
      </c>
      <c r="B183" t="s">
        <v>408</v>
      </c>
      <c r="C183">
        <v>56</v>
      </c>
      <c r="D183" t="s">
        <v>18</v>
      </c>
      <c r="E183" s="5">
        <v>45678</v>
      </c>
      <c r="F183" s="5">
        <v>45691</v>
      </c>
      <c r="G183">
        <f t="shared" si="4"/>
        <v>13</v>
      </c>
      <c r="H183" t="s">
        <v>60</v>
      </c>
      <c r="I183" t="s">
        <v>77</v>
      </c>
      <c r="J183" s="2">
        <v>29767.07</v>
      </c>
      <c r="K183" s="6">
        <v>0.8</v>
      </c>
      <c r="L183" t="s">
        <v>20</v>
      </c>
      <c r="M183" s="3">
        <f t="shared" si="5"/>
        <v>0</v>
      </c>
      <c r="N183" s="9" t="str" cm="1">
        <f t="array" ref="N183">_xlfn.IFS(C183&lt;18,"Under 18",C183&lt;36,"18-35",C183&lt;51,"36-50",C183&lt;66,"51-65",C183&gt;=66,"Above 65")</f>
        <v>51-65</v>
      </c>
      <c r="O183" s="6"/>
    </row>
    <row r="184" spans="1:15" x14ac:dyDescent="0.35">
      <c r="A184" t="s">
        <v>409</v>
      </c>
      <c r="B184" t="s">
        <v>410</v>
      </c>
      <c r="C184">
        <v>8</v>
      </c>
      <c r="D184" t="s">
        <v>12</v>
      </c>
      <c r="E184" s="5">
        <v>45825</v>
      </c>
      <c r="F184" s="5">
        <v>45830</v>
      </c>
      <c r="G184">
        <f t="shared" si="4"/>
        <v>5</v>
      </c>
      <c r="H184" t="s">
        <v>49</v>
      </c>
      <c r="I184" t="s">
        <v>117</v>
      </c>
      <c r="J184" s="2">
        <v>5537.93</v>
      </c>
      <c r="K184" s="6">
        <v>0.9</v>
      </c>
      <c r="L184" t="s">
        <v>15</v>
      </c>
      <c r="M184" s="3">
        <f t="shared" si="5"/>
        <v>5537.93</v>
      </c>
      <c r="N184" s="9" t="str" cm="1">
        <f t="array" ref="N184">_xlfn.IFS(C184&lt;18,"Under 18",C184&lt;36,"18-35",C184&lt;51,"36-50",C184&lt;66,"51-65",C184&gt;=66,"Above 65")</f>
        <v>Under 18</v>
      </c>
      <c r="O184" s="6"/>
    </row>
    <row r="185" spans="1:15" x14ac:dyDescent="0.35">
      <c r="A185" t="s">
        <v>411</v>
      </c>
      <c r="B185" t="s">
        <v>412</v>
      </c>
      <c r="C185">
        <v>77</v>
      </c>
      <c r="D185" t="s">
        <v>12</v>
      </c>
      <c r="E185" s="5">
        <v>45891</v>
      </c>
      <c r="F185" s="5">
        <v>45897</v>
      </c>
      <c r="G185">
        <f t="shared" si="4"/>
        <v>6</v>
      </c>
      <c r="H185" t="s">
        <v>31</v>
      </c>
      <c r="I185" t="s">
        <v>35</v>
      </c>
      <c r="J185" s="2">
        <v>7949.08</v>
      </c>
      <c r="K185" s="6">
        <v>0.6</v>
      </c>
      <c r="L185" t="s">
        <v>15</v>
      </c>
      <c r="M185" s="3">
        <f t="shared" si="5"/>
        <v>7949.08</v>
      </c>
      <c r="N185" s="9" t="str" cm="1">
        <f t="array" ref="N185">_xlfn.IFS(C185&lt;18,"Under 18",C185&lt;36,"18-35",C185&lt;51,"36-50",C185&lt;66,"51-65",C185&gt;=66,"Above 65")</f>
        <v>Above 65</v>
      </c>
      <c r="O185" s="6"/>
    </row>
    <row r="186" spans="1:15" x14ac:dyDescent="0.35">
      <c r="A186" t="s">
        <v>413</v>
      </c>
      <c r="B186" t="s">
        <v>414</v>
      </c>
      <c r="C186">
        <v>3</v>
      </c>
      <c r="D186" t="s">
        <v>12</v>
      </c>
      <c r="E186" s="5">
        <v>45651</v>
      </c>
      <c r="F186" s="5">
        <v>45655</v>
      </c>
      <c r="G186">
        <f t="shared" si="4"/>
        <v>4</v>
      </c>
      <c r="H186" t="s">
        <v>49</v>
      </c>
      <c r="I186" t="s">
        <v>123</v>
      </c>
      <c r="J186" s="2">
        <v>6607.88</v>
      </c>
      <c r="K186" s="6">
        <v>0.7</v>
      </c>
      <c r="L186" t="s">
        <v>15</v>
      </c>
      <c r="M186" s="3">
        <f t="shared" si="5"/>
        <v>6607.88</v>
      </c>
      <c r="N186" s="9" t="str" cm="1">
        <f t="array" ref="N186">_xlfn.IFS(C186&lt;18,"Under 18",C186&lt;36,"18-35",C186&lt;51,"36-50",C186&lt;66,"51-65",C186&gt;=66,"Above 65")</f>
        <v>Under 18</v>
      </c>
      <c r="O186" s="6"/>
    </row>
    <row r="187" spans="1:15" x14ac:dyDescent="0.35">
      <c r="A187" t="s">
        <v>415</v>
      </c>
      <c r="B187" t="s">
        <v>416</v>
      </c>
      <c r="C187">
        <v>12</v>
      </c>
      <c r="D187" t="s">
        <v>18</v>
      </c>
      <c r="E187" s="5">
        <v>45548</v>
      </c>
      <c r="F187" s="5">
        <v>45551</v>
      </c>
      <c r="G187">
        <f t="shared" si="4"/>
        <v>3</v>
      </c>
      <c r="H187" t="s">
        <v>49</v>
      </c>
      <c r="I187" t="s">
        <v>120</v>
      </c>
      <c r="J187" s="2">
        <v>4728.71</v>
      </c>
      <c r="K187" s="6">
        <v>0.5</v>
      </c>
      <c r="L187" t="s">
        <v>15</v>
      </c>
      <c r="M187" s="3">
        <f t="shared" si="5"/>
        <v>4728.71</v>
      </c>
      <c r="N187" s="9" t="str" cm="1">
        <f t="array" ref="N187">_xlfn.IFS(C187&lt;18,"Under 18",C187&lt;36,"18-35",C187&lt;51,"36-50",C187&lt;66,"51-65",C187&gt;=66,"Above 65")</f>
        <v>Under 18</v>
      </c>
      <c r="O187" s="6"/>
    </row>
    <row r="188" spans="1:15" x14ac:dyDescent="0.35">
      <c r="A188" t="s">
        <v>417</v>
      </c>
      <c r="B188" t="s">
        <v>418</v>
      </c>
      <c r="C188">
        <v>83</v>
      </c>
      <c r="D188" t="s">
        <v>18</v>
      </c>
      <c r="E188" s="5">
        <v>45352</v>
      </c>
      <c r="F188" s="5">
        <v>45360</v>
      </c>
      <c r="G188">
        <f t="shared" si="4"/>
        <v>8</v>
      </c>
      <c r="H188" t="s">
        <v>13</v>
      </c>
      <c r="I188" t="s">
        <v>19</v>
      </c>
      <c r="J188" s="2">
        <v>15664.73</v>
      </c>
      <c r="K188" s="6">
        <v>0.8</v>
      </c>
      <c r="L188" t="s">
        <v>15</v>
      </c>
      <c r="M188" s="3">
        <f t="shared" si="5"/>
        <v>15664.73</v>
      </c>
      <c r="N188" s="9" t="str" cm="1">
        <f t="array" ref="N188">_xlfn.IFS(C188&lt;18,"Under 18",C188&lt;36,"18-35",C188&lt;51,"36-50",C188&lt;66,"51-65",C188&gt;=66,"Above 65")</f>
        <v>Above 65</v>
      </c>
      <c r="O188" s="6"/>
    </row>
    <row r="189" spans="1:15" x14ac:dyDescent="0.35">
      <c r="A189" t="s">
        <v>419</v>
      </c>
      <c r="B189" t="s">
        <v>420</v>
      </c>
      <c r="C189">
        <v>53</v>
      </c>
      <c r="D189" t="s">
        <v>18</v>
      </c>
      <c r="E189" s="5">
        <v>45951</v>
      </c>
      <c r="F189" s="5">
        <v>45955</v>
      </c>
      <c r="G189">
        <f t="shared" si="4"/>
        <v>4</v>
      </c>
      <c r="H189" t="s">
        <v>31</v>
      </c>
      <c r="I189" t="s">
        <v>234</v>
      </c>
      <c r="J189" s="2">
        <v>2716.52</v>
      </c>
      <c r="K189" s="6">
        <v>0</v>
      </c>
      <c r="L189" t="s">
        <v>25</v>
      </c>
      <c r="M189" s="3">
        <f t="shared" si="5"/>
        <v>0</v>
      </c>
      <c r="N189" s="9" t="str" cm="1">
        <f t="array" ref="N189">_xlfn.IFS(C189&lt;18,"Under 18",C189&lt;36,"18-35",C189&lt;51,"36-50",C189&lt;66,"51-65",C189&gt;=66,"Above 65")</f>
        <v>51-65</v>
      </c>
      <c r="O189" s="6"/>
    </row>
    <row r="190" spans="1:15" x14ac:dyDescent="0.35">
      <c r="A190" t="s">
        <v>421</v>
      </c>
      <c r="B190" t="s">
        <v>422</v>
      </c>
      <c r="C190">
        <v>29</v>
      </c>
      <c r="D190" t="s">
        <v>18</v>
      </c>
      <c r="E190" s="5">
        <v>45643</v>
      </c>
      <c r="F190" s="5">
        <v>45644</v>
      </c>
      <c r="G190">
        <f t="shared" si="4"/>
        <v>1</v>
      </c>
      <c r="H190" t="s">
        <v>31</v>
      </c>
      <c r="I190" t="s">
        <v>114</v>
      </c>
      <c r="J190" s="2">
        <v>716.18</v>
      </c>
      <c r="K190" s="6">
        <v>0.8</v>
      </c>
      <c r="L190" t="s">
        <v>15</v>
      </c>
      <c r="M190" s="3">
        <f t="shared" si="5"/>
        <v>716.18</v>
      </c>
      <c r="N190" s="9" t="str" cm="1">
        <f t="array" ref="N190">_xlfn.IFS(C190&lt;18,"Under 18",C190&lt;36,"18-35",C190&lt;51,"36-50",C190&lt;66,"51-65",C190&gt;=66,"Above 65")</f>
        <v>18-35</v>
      </c>
      <c r="O190" s="6"/>
    </row>
    <row r="191" spans="1:15" x14ac:dyDescent="0.35">
      <c r="A191" t="s">
        <v>423</v>
      </c>
      <c r="B191" t="s">
        <v>346</v>
      </c>
      <c r="C191">
        <v>49</v>
      </c>
      <c r="D191" t="s">
        <v>18</v>
      </c>
      <c r="E191" s="5">
        <v>45738</v>
      </c>
      <c r="F191" s="5">
        <v>45741</v>
      </c>
      <c r="G191">
        <f t="shared" si="4"/>
        <v>3</v>
      </c>
      <c r="H191" t="s">
        <v>70</v>
      </c>
      <c r="I191" t="s">
        <v>157</v>
      </c>
      <c r="J191" s="2">
        <v>3478.78</v>
      </c>
      <c r="K191" s="6">
        <v>0.8</v>
      </c>
      <c r="L191" t="s">
        <v>15</v>
      </c>
      <c r="M191" s="3">
        <f t="shared" si="5"/>
        <v>3478.78</v>
      </c>
      <c r="N191" s="9" t="str" cm="1">
        <f t="array" ref="N191">_xlfn.IFS(C191&lt;18,"Under 18",C191&lt;36,"18-35",C191&lt;51,"36-50",C191&lt;66,"51-65",C191&gt;=66,"Above 65")</f>
        <v>36-50</v>
      </c>
      <c r="O191" s="6"/>
    </row>
    <row r="192" spans="1:15" x14ac:dyDescent="0.35">
      <c r="A192" t="s">
        <v>424</v>
      </c>
      <c r="B192" t="s">
        <v>425</v>
      </c>
      <c r="C192">
        <v>48</v>
      </c>
      <c r="D192" t="s">
        <v>18</v>
      </c>
      <c r="E192" s="5">
        <v>45979</v>
      </c>
      <c r="F192" s="5">
        <v>45985</v>
      </c>
      <c r="G192">
        <f t="shared" si="4"/>
        <v>6</v>
      </c>
      <c r="H192" t="s">
        <v>31</v>
      </c>
      <c r="I192" t="s">
        <v>53</v>
      </c>
      <c r="J192" s="2">
        <v>3693.12</v>
      </c>
      <c r="K192" s="6">
        <v>1</v>
      </c>
      <c r="L192" t="s">
        <v>20</v>
      </c>
      <c r="M192" s="3">
        <f t="shared" si="5"/>
        <v>0</v>
      </c>
      <c r="N192" s="9" t="str" cm="1">
        <f t="array" ref="N192">_xlfn.IFS(C192&lt;18,"Under 18",C192&lt;36,"18-35",C192&lt;51,"36-50",C192&lt;66,"51-65",C192&gt;=66,"Above 65")</f>
        <v>36-50</v>
      </c>
      <c r="O192" s="6"/>
    </row>
    <row r="193" spans="1:15" x14ac:dyDescent="0.35">
      <c r="A193" t="s">
        <v>426</v>
      </c>
      <c r="B193" t="s">
        <v>427</v>
      </c>
      <c r="C193">
        <v>80</v>
      </c>
      <c r="D193" t="s">
        <v>18</v>
      </c>
      <c r="E193" s="5">
        <v>45362</v>
      </c>
      <c r="F193" s="5">
        <v>45363</v>
      </c>
      <c r="G193">
        <f t="shared" si="4"/>
        <v>1</v>
      </c>
      <c r="H193" t="s">
        <v>31</v>
      </c>
      <c r="I193" t="s">
        <v>114</v>
      </c>
      <c r="J193" s="2">
        <v>1441.21</v>
      </c>
      <c r="K193" s="6">
        <v>0</v>
      </c>
      <c r="L193" t="s">
        <v>15</v>
      </c>
      <c r="M193" s="3">
        <f t="shared" si="5"/>
        <v>1441.21</v>
      </c>
      <c r="N193" s="9" t="str" cm="1">
        <f t="array" ref="N193">_xlfn.IFS(C193&lt;18,"Under 18",C193&lt;36,"18-35",C193&lt;51,"36-50",C193&lt;66,"51-65",C193&gt;=66,"Above 65")</f>
        <v>Above 65</v>
      </c>
      <c r="O193" s="6"/>
    </row>
    <row r="194" spans="1:15" x14ac:dyDescent="0.35">
      <c r="A194" t="s">
        <v>428</v>
      </c>
      <c r="B194" t="s">
        <v>429</v>
      </c>
      <c r="C194">
        <v>52</v>
      </c>
      <c r="D194" t="s">
        <v>18</v>
      </c>
      <c r="E194" s="5">
        <v>45639</v>
      </c>
      <c r="F194" s="5">
        <v>45645</v>
      </c>
      <c r="G194">
        <f t="shared" si="4"/>
        <v>6</v>
      </c>
      <c r="H194" t="s">
        <v>31</v>
      </c>
      <c r="I194" t="s">
        <v>114</v>
      </c>
      <c r="J194" s="2">
        <v>8378.4500000000007</v>
      </c>
      <c r="K194" s="6">
        <v>0.7</v>
      </c>
      <c r="L194" t="s">
        <v>20</v>
      </c>
      <c r="M194" s="3">
        <f t="shared" si="5"/>
        <v>0</v>
      </c>
      <c r="N194" s="9" t="str" cm="1">
        <f t="array" ref="N194">_xlfn.IFS(C194&lt;18,"Under 18",C194&lt;36,"18-35",C194&lt;51,"36-50",C194&lt;66,"51-65",C194&gt;=66,"Above 65")</f>
        <v>51-65</v>
      </c>
      <c r="O194" s="6"/>
    </row>
    <row r="195" spans="1:15" x14ac:dyDescent="0.35">
      <c r="A195" t="s">
        <v>430</v>
      </c>
      <c r="B195" t="s">
        <v>431</v>
      </c>
      <c r="C195">
        <v>77</v>
      </c>
      <c r="D195" t="s">
        <v>18</v>
      </c>
      <c r="E195" s="5">
        <v>45585</v>
      </c>
      <c r="F195" s="5">
        <v>45595</v>
      </c>
      <c r="G195">
        <f t="shared" ref="G195:G258" si="6">DATEDIF(E195,F195,"D")</f>
        <v>10</v>
      </c>
      <c r="H195" t="s">
        <v>13</v>
      </c>
      <c r="I195" t="s">
        <v>14</v>
      </c>
      <c r="J195" s="2">
        <v>16501.419999999998</v>
      </c>
      <c r="K195" s="6">
        <v>0.5</v>
      </c>
      <c r="L195" t="s">
        <v>15</v>
      </c>
      <c r="M195" s="3">
        <f t="shared" ref="M195:M258" si="7">IF(L195 = "Paid",J195,0)</f>
        <v>16501.419999999998</v>
      </c>
      <c r="N195" s="9" t="str" cm="1">
        <f t="array" ref="N195">_xlfn.IFS(C195&lt;18,"Under 18",C195&lt;36,"18-35",C195&lt;51,"36-50",C195&lt;66,"51-65",C195&gt;=66,"Above 65")</f>
        <v>Above 65</v>
      </c>
      <c r="O195" s="6"/>
    </row>
    <row r="196" spans="1:15" x14ac:dyDescent="0.35">
      <c r="A196" t="s">
        <v>432</v>
      </c>
      <c r="B196" t="s">
        <v>433</v>
      </c>
      <c r="C196">
        <v>53</v>
      </c>
      <c r="D196" t="s">
        <v>18</v>
      </c>
      <c r="E196" s="5">
        <v>45798</v>
      </c>
      <c r="F196" s="5">
        <v>45807</v>
      </c>
      <c r="G196">
        <f t="shared" si="6"/>
        <v>9</v>
      </c>
      <c r="H196" t="s">
        <v>13</v>
      </c>
      <c r="I196" t="s">
        <v>102</v>
      </c>
      <c r="J196" s="2">
        <v>18430.509999999998</v>
      </c>
      <c r="K196" s="6">
        <v>1</v>
      </c>
      <c r="L196" t="s">
        <v>15</v>
      </c>
      <c r="M196" s="3">
        <f t="shared" si="7"/>
        <v>18430.509999999998</v>
      </c>
      <c r="N196" s="9" t="str" cm="1">
        <f t="array" ref="N196">_xlfn.IFS(C196&lt;18,"Under 18",C196&lt;36,"18-35",C196&lt;51,"36-50",C196&lt;66,"51-65",C196&gt;=66,"Above 65")</f>
        <v>51-65</v>
      </c>
      <c r="O196" s="6"/>
    </row>
    <row r="197" spans="1:15" x14ac:dyDescent="0.35">
      <c r="A197" t="s">
        <v>434</v>
      </c>
      <c r="B197" t="s">
        <v>435</v>
      </c>
      <c r="C197">
        <v>42</v>
      </c>
      <c r="D197" t="s">
        <v>12</v>
      </c>
      <c r="E197" s="5">
        <v>45550</v>
      </c>
      <c r="F197" s="5">
        <v>45553</v>
      </c>
      <c r="G197">
        <f t="shared" si="6"/>
        <v>3</v>
      </c>
      <c r="H197" t="s">
        <v>31</v>
      </c>
      <c r="I197" t="s">
        <v>87</v>
      </c>
      <c r="J197" s="2">
        <v>1567.15</v>
      </c>
      <c r="K197" s="6">
        <v>0.8</v>
      </c>
      <c r="L197" t="s">
        <v>25</v>
      </c>
      <c r="M197" s="3">
        <f t="shared" si="7"/>
        <v>0</v>
      </c>
      <c r="N197" s="9" t="str" cm="1">
        <f t="array" ref="N197">_xlfn.IFS(C197&lt;18,"Under 18",C197&lt;36,"18-35",C197&lt;51,"36-50",C197&lt;66,"51-65",C197&gt;=66,"Above 65")</f>
        <v>36-50</v>
      </c>
      <c r="O197" s="6"/>
    </row>
    <row r="198" spans="1:15" x14ac:dyDescent="0.35">
      <c r="A198" t="s">
        <v>436</v>
      </c>
      <c r="B198" t="s">
        <v>203</v>
      </c>
      <c r="C198">
        <v>61</v>
      </c>
      <c r="D198" t="s">
        <v>18</v>
      </c>
      <c r="E198" s="5">
        <v>45545</v>
      </c>
      <c r="F198" s="5">
        <v>45546</v>
      </c>
      <c r="G198">
        <f t="shared" si="6"/>
        <v>1</v>
      </c>
      <c r="H198" t="s">
        <v>23</v>
      </c>
      <c r="I198" t="s">
        <v>41</v>
      </c>
      <c r="J198" s="2">
        <v>917.44</v>
      </c>
      <c r="K198" s="6">
        <v>0.8</v>
      </c>
      <c r="L198" t="s">
        <v>15</v>
      </c>
      <c r="M198" s="3">
        <f t="shared" si="7"/>
        <v>917.44</v>
      </c>
      <c r="N198" s="9" t="str" cm="1">
        <f t="array" ref="N198">_xlfn.IFS(C198&lt;18,"Under 18",C198&lt;36,"18-35",C198&lt;51,"36-50",C198&lt;66,"51-65",C198&gt;=66,"Above 65")</f>
        <v>51-65</v>
      </c>
      <c r="O198" s="6"/>
    </row>
    <row r="199" spans="1:15" x14ac:dyDescent="0.35">
      <c r="A199" t="s">
        <v>437</v>
      </c>
      <c r="B199" t="s">
        <v>132</v>
      </c>
      <c r="C199">
        <v>81</v>
      </c>
      <c r="D199" t="s">
        <v>18</v>
      </c>
      <c r="E199" s="5">
        <v>45994</v>
      </c>
      <c r="F199" s="5">
        <v>46003</v>
      </c>
      <c r="G199">
        <f t="shared" si="6"/>
        <v>9</v>
      </c>
      <c r="H199" t="s">
        <v>13</v>
      </c>
      <c r="I199" t="s">
        <v>102</v>
      </c>
      <c r="J199" s="2">
        <v>18345.38</v>
      </c>
      <c r="K199" s="6">
        <v>0.8</v>
      </c>
      <c r="L199" t="s">
        <v>20</v>
      </c>
      <c r="M199" s="3">
        <f t="shared" si="7"/>
        <v>0</v>
      </c>
      <c r="N199" s="9" t="str" cm="1">
        <f t="array" ref="N199">_xlfn.IFS(C199&lt;18,"Under 18",C199&lt;36,"18-35",C199&lt;51,"36-50",C199&lt;66,"51-65",C199&gt;=66,"Above 65")</f>
        <v>Above 65</v>
      </c>
      <c r="O199" s="6"/>
    </row>
    <row r="200" spans="1:15" x14ac:dyDescent="0.35">
      <c r="A200" t="s">
        <v>438</v>
      </c>
      <c r="B200" t="s">
        <v>439</v>
      </c>
      <c r="C200">
        <v>53</v>
      </c>
      <c r="D200" t="s">
        <v>18</v>
      </c>
      <c r="E200" s="5">
        <v>45626</v>
      </c>
      <c r="F200" s="5">
        <v>45635</v>
      </c>
      <c r="G200">
        <f t="shared" si="6"/>
        <v>9</v>
      </c>
      <c r="H200" t="s">
        <v>70</v>
      </c>
      <c r="I200" t="s">
        <v>71</v>
      </c>
      <c r="J200" s="2">
        <v>19211.240000000002</v>
      </c>
      <c r="K200" s="6">
        <v>0.9</v>
      </c>
      <c r="L200" t="s">
        <v>15</v>
      </c>
      <c r="M200" s="3">
        <f t="shared" si="7"/>
        <v>19211.240000000002</v>
      </c>
      <c r="N200" s="9" t="str" cm="1">
        <f t="array" ref="N200">_xlfn.IFS(C200&lt;18,"Under 18",C200&lt;36,"18-35",C200&lt;51,"36-50",C200&lt;66,"51-65",C200&gt;=66,"Above 65")</f>
        <v>51-65</v>
      </c>
      <c r="O200" s="6"/>
    </row>
    <row r="201" spans="1:15" x14ac:dyDescent="0.35">
      <c r="A201" t="s">
        <v>440</v>
      </c>
      <c r="B201" t="s">
        <v>441</v>
      </c>
      <c r="C201">
        <v>48</v>
      </c>
      <c r="D201" t="s">
        <v>12</v>
      </c>
      <c r="E201" s="5">
        <v>45805</v>
      </c>
      <c r="F201" s="5">
        <v>45809</v>
      </c>
      <c r="G201">
        <f t="shared" si="6"/>
        <v>4</v>
      </c>
      <c r="H201" t="s">
        <v>13</v>
      </c>
      <c r="I201" t="s">
        <v>19</v>
      </c>
      <c r="J201" s="2">
        <v>10336.58</v>
      </c>
      <c r="K201" s="6">
        <v>1</v>
      </c>
      <c r="L201" t="s">
        <v>15</v>
      </c>
      <c r="M201" s="3">
        <f t="shared" si="7"/>
        <v>10336.58</v>
      </c>
      <c r="N201" s="9" t="str" cm="1">
        <f t="array" ref="N201">_xlfn.IFS(C201&lt;18,"Under 18",C201&lt;36,"18-35",C201&lt;51,"36-50",C201&lt;66,"51-65",C201&gt;=66,"Above 65")</f>
        <v>36-50</v>
      </c>
      <c r="O201" s="6"/>
    </row>
    <row r="202" spans="1:15" x14ac:dyDescent="0.35">
      <c r="A202" t="s">
        <v>442</v>
      </c>
      <c r="B202" t="s">
        <v>443</v>
      </c>
      <c r="C202">
        <v>64</v>
      </c>
      <c r="D202" t="s">
        <v>18</v>
      </c>
      <c r="E202" s="5">
        <v>45705</v>
      </c>
      <c r="F202" s="5">
        <v>45712</v>
      </c>
      <c r="G202">
        <f t="shared" si="6"/>
        <v>7</v>
      </c>
      <c r="H202" t="s">
        <v>31</v>
      </c>
      <c r="I202" t="s">
        <v>234</v>
      </c>
      <c r="J202" s="2">
        <v>4926.12</v>
      </c>
      <c r="K202" s="6">
        <v>0.7</v>
      </c>
      <c r="L202" t="s">
        <v>20</v>
      </c>
      <c r="M202" s="3">
        <f t="shared" si="7"/>
        <v>0</v>
      </c>
      <c r="N202" s="9" t="str" cm="1">
        <f t="array" ref="N202">_xlfn.IFS(C202&lt;18,"Under 18",C202&lt;36,"18-35",C202&lt;51,"36-50",C202&lt;66,"51-65",C202&gt;=66,"Above 65")</f>
        <v>51-65</v>
      </c>
      <c r="O202" s="6"/>
    </row>
    <row r="203" spans="1:15" x14ac:dyDescent="0.35">
      <c r="A203" t="s">
        <v>444</v>
      </c>
      <c r="B203" t="s">
        <v>445</v>
      </c>
      <c r="C203">
        <v>80</v>
      </c>
      <c r="D203" t="s">
        <v>18</v>
      </c>
      <c r="E203" s="5">
        <v>45491</v>
      </c>
      <c r="F203" s="5">
        <v>45497</v>
      </c>
      <c r="G203">
        <f t="shared" si="6"/>
        <v>6</v>
      </c>
      <c r="H203" t="s">
        <v>70</v>
      </c>
      <c r="I203" t="s">
        <v>295</v>
      </c>
      <c r="J203" s="2">
        <v>13102.72</v>
      </c>
      <c r="K203" s="6">
        <v>0.5</v>
      </c>
      <c r="L203" t="s">
        <v>20</v>
      </c>
      <c r="M203" s="3">
        <f t="shared" si="7"/>
        <v>0</v>
      </c>
      <c r="N203" s="9" t="str" cm="1">
        <f t="array" ref="N203">_xlfn.IFS(C203&lt;18,"Under 18",C203&lt;36,"18-35",C203&lt;51,"36-50",C203&lt;66,"51-65",C203&gt;=66,"Above 65")</f>
        <v>Above 65</v>
      </c>
      <c r="O203" s="6"/>
    </row>
    <row r="204" spans="1:15" x14ac:dyDescent="0.35">
      <c r="A204" t="s">
        <v>446</v>
      </c>
      <c r="B204" t="s">
        <v>447</v>
      </c>
      <c r="C204">
        <v>56</v>
      </c>
      <c r="D204" t="s">
        <v>12</v>
      </c>
      <c r="E204" s="5">
        <v>45355</v>
      </c>
      <c r="F204" s="5">
        <v>45362</v>
      </c>
      <c r="G204">
        <f t="shared" si="6"/>
        <v>7</v>
      </c>
      <c r="H204" t="s">
        <v>31</v>
      </c>
      <c r="I204" t="s">
        <v>35</v>
      </c>
      <c r="J204" s="2">
        <v>4595.79</v>
      </c>
      <c r="K204" s="6">
        <v>0.8</v>
      </c>
      <c r="L204" t="s">
        <v>15</v>
      </c>
      <c r="M204" s="3">
        <f t="shared" si="7"/>
        <v>4595.79</v>
      </c>
      <c r="N204" s="9" t="str" cm="1">
        <f t="array" ref="N204">_xlfn.IFS(C204&lt;18,"Under 18",C204&lt;36,"18-35",C204&lt;51,"36-50",C204&lt;66,"51-65",C204&gt;=66,"Above 65")</f>
        <v>51-65</v>
      </c>
      <c r="O204" s="6"/>
    </row>
    <row r="205" spans="1:15" x14ac:dyDescent="0.35">
      <c r="A205" t="s">
        <v>448</v>
      </c>
      <c r="B205" t="s">
        <v>449</v>
      </c>
      <c r="C205">
        <v>63</v>
      </c>
      <c r="D205" t="s">
        <v>12</v>
      </c>
      <c r="E205" s="5">
        <v>45625</v>
      </c>
      <c r="F205" s="5">
        <v>45628</v>
      </c>
      <c r="G205">
        <f t="shared" si="6"/>
        <v>3</v>
      </c>
      <c r="H205" t="s">
        <v>23</v>
      </c>
      <c r="I205" t="s">
        <v>204</v>
      </c>
      <c r="J205" s="2">
        <v>3717.61</v>
      </c>
      <c r="K205" s="6">
        <v>0.9</v>
      </c>
      <c r="L205" t="s">
        <v>20</v>
      </c>
      <c r="M205" s="3">
        <f t="shared" si="7"/>
        <v>0</v>
      </c>
      <c r="N205" s="9" t="str" cm="1">
        <f t="array" ref="N205">_xlfn.IFS(C205&lt;18,"Under 18",C205&lt;36,"18-35",C205&lt;51,"36-50",C205&lt;66,"51-65",C205&gt;=66,"Above 65")</f>
        <v>51-65</v>
      </c>
      <c r="O205" s="6"/>
    </row>
    <row r="206" spans="1:15" x14ac:dyDescent="0.35">
      <c r="A206" t="s">
        <v>450</v>
      </c>
      <c r="B206" t="s">
        <v>451</v>
      </c>
      <c r="C206">
        <v>43</v>
      </c>
      <c r="D206" t="s">
        <v>12</v>
      </c>
      <c r="E206" s="5">
        <v>46012</v>
      </c>
      <c r="F206" s="5">
        <v>46025</v>
      </c>
      <c r="G206">
        <f t="shared" si="6"/>
        <v>13</v>
      </c>
      <c r="H206" t="s">
        <v>60</v>
      </c>
      <c r="I206" t="s">
        <v>97</v>
      </c>
      <c r="J206" s="2">
        <v>33810.44</v>
      </c>
      <c r="K206" s="6">
        <v>0.9</v>
      </c>
      <c r="L206" t="s">
        <v>15</v>
      </c>
      <c r="M206" s="3">
        <f t="shared" si="7"/>
        <v>33810.44</v>
      </c>
      <c r="N206" s="9" t="str" cm="1">
        <f t="array" ref="N206">_xlfn.IFS(C206&lt;18,"Under 18",C206&lt;36,"18-35",C206&lt;51,"36-50",C206&lt;66,"51-65",C206&gt;=66,"Above 65")</f>
        <v>36-50</v>
      </c>
      <c r="O206" s="6"/>
    </row>
    <row r="207" spans="1:15" x14ac:dyDescent="0.35">
      <c r="A207" t="s">
        <v>452</v>
      </c>
      <c r="B207" t="s">
        <v>354</v>
      </c>
      <c r="C207">
        <v>8</v>
      </c>
      <c r="D207" t="s">
        <v>18</v>
      </c>
      <c r="E207" s="5">
        <v>45660</v>
      </c>
      <c r="F207" s="5">
        <v>45664</v>
      </c>
      <c r="G207">
        <f t="shared" si="6"/>
        <v>4</v>
      </c>
      <c r="H207" t="s">
        <v>49</v>
      </c>
      <c r="I207" t="s">
        <v>117</v>
      </c>
      <c r="J207" s="2">
        <v>4115.83</v>
      </c>
      <c r="K207" s="6">
        <v>0.5</v>
      </c>
      <c r="L207" t="s">
        <v>15</v>
      </c>
      <c r="M207" s="3">
        <f t="shared" si="7"/>
        <v>4115.83</v>
      </c>
      <c r="N207" s="9" t="str" cm="1">
        <f t="array" ref="N207">_xlfn.IFS(C207&lt;18,"Under 18",C207&lt;36,"18-35",C207&lt;51,"36-50",C207&lt;66,"51-65",C207&gt;=66,"Above 65")</f>
        <v>Under 18</v>
      </c>
      <c r="O207" s="6"/>
    </row>
    <row r="208" spans="1:15" x14ac:dyDescent="0.35">
      <c r="A208" t="s">
        <v>453</v>
      </c>
      <c r="B208" t="s">
        <v>454</v>
      </c>
      <c r="C208">
        <v>56</v>
      </c>
      <c r="D208" t="s">
        <v>18</v>
      </c>
      <c r="E208" s="5">
        <v>45748</v>
      </c>
      <c r="F208" s="5">
        <v>45754</v>
      </c>
      <c r="G208">
        <f t="shared" si="6"/>
        <v>6</v>
      </c>
      <c r="H208" t="s">
        <v>31</v>
      </c>
      <c r="I208" t="s">
        <v>35</v>
      </c>
      <c r="J208" s="2">
        <v>8245.4599999999991</v>
      </c>
      <c r="K208" s="6">
        <v>0.5</v>
      </c>
      <c r="L208" t="s">
        <v>25</v>
      </c>
      <c r="M208" s="3">
        <f t="shared" si="7"/>
        <v>0</v>
      </c>
      <c r="N208" s="9" t="str" cm="1">
        <f t="array" ref="N208">_xlfn.IFS(C208&lt;18,"Under 18",C208&lt;36,"18-35",C208&lt;51,"36-50",C208&lt;66,"51-65",C208&gt;=66,"Above 65")</f>
        <v>51-65</v>
      </c>
      <c r="O208" s="6"/>
    </row>
    <row r="209" spans="1:15" x14ac:dyDescent="0.35">
      <c r="A209" t="s">
        <v>455</v>
      </c>
      <c r="B209" t="s">
        <v>456</v>
      </c>
      <c r="C209">
        <v>11</v>
      </c>
      <c r="D209" t="s">
        <v>12</v>
      </c>
      <c r="E209" s="5">
        <v>45704</v>
      </c>
      <c r="F209" s="5">
        <v>45709</v>
      </c>
      <c r="G209">
        <f t="shared" si="6"/>
        <v>5</v>
      </c>
      <c r="H209" t="s">
        <v>49</v>
      </c>
      <c r="I209" t="s">
        <v>50</v>
      </c>
      <c r="J209" s="2">
        <v>7654.55</v>
      </c>
      <c r="K209" s="6">
        <v>1</v>
      </c>
      <c r="L209" t="s">
        <v>15</v>
      </c>
      <c r="M209" s="3">
        <f t="shared" si="7"/>
        <v>7654.55</v>
      </c>
      <c r="N209" s="9" t="str" cm="1">
        <f t="array" ref="N209">_xlfn.IFS(C209&lt;18,"Under 18",C209&lt;36,"18-35",C209&lt;51,"36-50",C209&lt;66,"51-65",C209&gt;=66,"Above 65")</f>
        <v>Under 18</v>
      </c>
      <c r="O209" s="6"/>
    </row>
    <row r="210" spans="1:15" x14ac:dyDescent="0.35">
      <c r="A210" t="s">
        <v>457</v>
      </c>
      <c r="B210" t="s">
        <v>458</v>
      </c>
      <c r="C210">
        <v>52</v>
      </c>
      <c r="D210" t="s">
        <v>12</v>
      </c>
      <c r="E210" s="5">
        <v>45706</v>
      </c>
      <c r="F210" s="5">
        <v>45710</v>
      </c>
      <c r="G210">
        <f t="shared" si="6"/>
        <v>4</v>
      </c>
      <c r="H210" t="s">
        <v>70</v>
      </c>
      <c r="I210" t="s">
        <v>157</v>
      </c>
      <c r="J210" s="2">
        <v>7167.44</v>
      </c>
      <c r="K210" s="6">
        <v>0.8</v>
      </c>
      <c r="L210" t="s">
        <v>15</v>
      </c>
      <c r="M210" s="3">
        <f t="shared" si="7"/>
        <v>7167.44</v>
      </c>
      <c r="N210" s="9" t="str" cm="1">
        <f t="array" ref="N210">_xlfn.IFS(C210&lt;18,"Under 18",C210&lt;36,"18-35",C210&lt;51,"36-50",C210&lt;66,"51-65",C210&gt;=66,"Above 65")</f>
        <v>51-65</v>
      </c>
      <c r="O210" s="6"/>
    </row>
    <row r="211" spans="1:15" x14ac:dyDescent="0.35">
      <c r="A211" t="s">
        <v>459</v>
      </c>
      <c r="B211" t="s">
        <v>460</v>
      </c>
      <c r="C211">
        <v>53</v>
      </c>
      <c r="D211" t="s">
        <v>18</v>
      </c>
      <c r="E211" s="5">
        <v>45809</v>
      </c>
      <c r="F211" s="5">
        <v>45811</v>
      </c>
      <c r="G211">
        <f t="shared" si="6"/>
        <v>2</v>
      </c>
      <c r="H211" t="s">
        <v>23</v>
      </c>
      <c r="I211" t="s">
        <v>24</v>
      </c>
      <c r="J211" s="2">
        <v>2556.12</v>
      </c>
      <c r="K211" s="6">
        <v>0.8</v>
      </c>
      <c r="L211" t="s">
        <v>15</v>
      </c>
      <c r="M211" s="3">
        <f t="shared" si="7"/>
        <v>2556.12</v>
      </c>
      <c r="N211" s="9" t="str" cm="1">
        <f t="array" ref="N211">_xlfn.IFS(C211&lt;18,"Under 18",C211&lt;36,"18-35",C211&lt;51,"36-50",C211&lt;66,"51-65",C211&gt;=66,"Above 65")</f>
        <v>51-65</v>
      </c>
      <c r="O211" s="6"/>
    </row>
    <row r="212" spans="1:15" x14ac:dyDescent="0.35">
      <c r="A212" t="s">
        <v>461</v>
      </c>
      <c r="B212" t="s">
        <v>396</v>
      </c>
      <c r="C212">
        <v>3</v>
      </c>
      <c r="D212" t="s">
        <v>12</v>
      </c>
      <c r="E212" s="5">
        <v>45509</v>
      </c>
      <c r="F212" s="5">
        <v>45512</v>
      </c>
      <c r="G212">
        <f t="shared" si="6"/>
        <v>3</v>
      </c>
      <c r="H212" t="s">
        <v>49</v>
      </c>
      <c r="I212" t="s">
        <v>123</v>
      </c>
      <c r="J212" s="2">
        <v>3139.43</v>
      </c>
      <c r="K212" s="6">
        <v>0.8</v>
      </c>
      <c r="L212" t="s">
        <v>15</v>
      </c>
      <c r="M212" s="3">
        <f t="shared" si="7"/>
        <v>3139.43</v>
      </c>
      <c r="N212" s="9" t="str" cm="1">
        <f t="array" ref="N212">_xlfn.IFS(C212&lt;18,"Under 18",C212&lt;36,"18-35",C212&lt;51,"36-50",C212&lt;66,"51-65",C212&gt;=66,"Above 65")</f>
        <v>Under 18</v>
      </c>
      <c r="O212" s="6"/>
    </row>
    <row r="213" spans="1:15" x14ac:dyDescent="0.35">
      <c r="A213" t="s">
        <v>462</v>
      </c>
      <c r="B213" t="s">
        <v>463</v>
      </c>
      <c r="C213">
        <v>84</v>
      </c>
      <c r="D213" t="s">
        <v>12</v>
      </c>
      <c r="E213" s="5">
        <v>45731</v>
      </c>
      <c r="F213" s="5">
        <v>45732</v>
      </c>
      <c r="G213">
        <f t="shared" si="6"/>
        <v>1</v>
      </c>
      <c r="H213" t="s">
        <v>23</v>
      </c>
      <c r="I213" t="s">
        <v>24</v>
      </c>
      <c r="J213" s="2">
        <v>1893.98</v>
      </c>
      <c r="K213" s="6">
        <v>0.9</v>
      </c>
      <c r="L213" t="s">
        <v>15</v>
      </c>
      <c r="M213" s="3">
        <f t="shared" si="7"/>
        <v>1893.98</v>
      </c>
      <c r="N213" s="9" t="str" cm="1">
        <f t="array" ref="N213">_xlfn.IFS(C213&lt;18,"Under 18",C213&lt;36,"18-35",C213&lt;51,"36-50",C213&lt;66,"51-65",C213&gt;=66,"Above 65")</f>
        <v>Above 65</v>
      </c>
      <c r="O213" s="6"/>
    </row>
    <row r="214" spans="1:15" x14ac:dyDescent="0.35">
      <c r="A214" t="s">
        <v>464</v>
      </c>
      <c r="B214" t="s">
        <v>408</v>
      </c>
      <c r="C214">
        <v>32</v>
      </c>
      <c r="D214" t="s">
        <v>18</v>
      </c>
      <c r="E214" s="5">
        <v>45834</v>
      </c>
      <c r="F214" s="5">
        <v>45840</v>
      </c>
      <c r="G214">
        <f t="shared" si="6"/>
        <v>6</v>
      </c>
      <c r="H214" t="s">
        <v>70</v>
      </c>
      <c r="I214" t="s">
        <v>157</v>
      </c>
      <c r="J214" s="2">
        <v>11663.48</v>
      </c>
      <c r="K214" s="6">
        <v>0</v>
      </c>
      <c r="L214" t="s">
        <v>20</v>
      </c>
      <c r="M214" s="3">
        <f t="shared" si="7"/>
        <v>0</v>
      </c>
      <c r="N214" s="9" t="str" cm="1">
        <f t="array" ref="N214">_xlfn.IFS(C214&lt;18,"Under 18",C214&lt;36,"18-35",C214&lt;51,"36-50",C214&lt;66,"51-65",C214&gt;=66,"Above 65")</f>
        <v>18-35</v>
      </c>
      <c r="O214" s="6"/>
    </row>
    <row r="215" spans="1:15" x14ac:dyDescent="0.35">
      <c r="A215" t="s">
        <v>465</v>
      </c>
      <c r="B215" t="s">
        <v>466</v>
      </c>
      <c r="C215">
        <v>39</v>
      </c>
      <c r="D215" t="s">
        <v>18</v>
      </c>
      <c r="E215" s="5">
        <v>45541</v>
      </c>
      <c r="F215" s="5">
        <v>45544</v>
      </c>
      <c r="G215">
        <f t="shared" si="6"/>
        <v>3</v>
      </c>
      <c r="H215" t="s">
        <v>31</v>
      </c>
      <c r="I215" t="s">
        <v>114</v>
      </c>
      <c r="J215" s="2">
        <v>1596.88</v>
      </c>
      <c r="K215" s="6">
        <v>0.5</v>
      </c>
      <c r="L215" t="s">
        <v>25</v>
      </c>
      <c r="M215" s="3">
        <f t="shared" si="7"/>
        <v>0</v>
      </c>
      <c r="N215" s="9" t="str" cm="1">
        <f t="array" ref="N215">_xlfn.IFS(C215&lt;18,"Under 18",C215&lt;36,"18-35",C215&lt;51,"36-50",C215&lt;66,"51-65",C215&gt;=66,"Above 65")</f>
        <v>36-50</v>
      </c>
      <c r="O215" s="6"/>
    </row>
    <row r="216" spans="1:15" x14ac:dyDescent="0.35">
      <c r="A216" t="s">
        <v>467</v>
      </c>
      <c r="B216" t="s">
        <v>468</v>
      </c>
      <c r="C216">
        <v>49</v>
      </c>
      <c r="D216" t="s">
        <v>18</v>
      </c>
      <c r="E216" s="5">
        <v>45508</v>
      </c>
      <c r="F216" s="5">
        <v>45513</v>
      </c>
      <c r="G216">
        <f t="shared" si="6"/>
        <v>5</v>
      </c>
      <c r="H216" t="s">
        <v>31</v>
      </c>
      <c r="I216" t="s">
        <v>44</v>
      </c>
      <c r="J216" s="2">
        <v>4111.79</v>
      </c>
      <c r="K216" s="6">
        <v>0.8</v>
      </c>
      <c r="L216" t="s">
        <v>15</v>
      </c>
      <c r="M216" s="3">
        <f t="shared" si="7"/>
        <v>4111.79</v>
      </c>
      <c r="N216" s="9" t="str" cm="1">
        <f t="array" ref="N216">_xlfn.IFS(C216&lt;18,"Under 18",C216&lt;36,"18-35",C216&lt;51,"36-50",C216&lt;66,"51-65",C216&gt;=66,"Above 65")</f>
        <v>36-50</v>
      </c>
      <c r="O216" s="6"/>
    </row>
    <row r="217" spans="1:15" x14ac:dyDescent="0.35">
      <c r="A217" t="s">
        <v>469</v>
      </c>
      <c r="B217" t="s">
        <v>470</v>
      </c>
      <c r="C217">
        <v>28</v>
      </c>
      <c r="D217" t="s">
        <v>12</v>
      </c>
      <c r="E217" s="5">
        <v>45375</v>
      </c>
      <c r="F217" s="5">
        <v>45378</v>
      </c>
      <c r="G217">
        <f t="shared" si="6"/>
        <v>3</v>
      </c>
      <c r="H217" t="s">
        <v>23</v>
      </c>
      <c r="I217" t="s">
        <v>24</v>
      </c>
      <c r="J217" s="2">
        <v>6606.32</v>
      </c>
      <c r="K217" s="6">
        <v>0.8</v>
      </c>
      <c r="L217" t="s">
        <v>15</v>
      </c>
      <c r="M217" s="3">
        <f t="shared" si="7"/>
        <v>6606.32</v>
      </c>
      <c r="N217" s="9" t="str" cm="1">
        <f t="array" ref="N217">_xlfn.IFS(C217&lt;18,"Under 18",C217&lt;36,"18-35",C217&lt;51,"36-50",C217&lt;66,"51-65",C217&gt;=66,"Above 65")</f>
        <v>18-35</v>
      </c>
      <c r="O217" s="6"/>
    </row>
    <row r="218" spans="1:15" x14ac:dyDescent="0.35">
      <c r="A218" t="s">
        <v>471</v>
      </c>
      <c r="B218" t="s">
        <v>472</v>
      </c>
      <c r="C218">
        <v>53</v>
      </c>
      <c r="D218" t="s">
        <v>18</v>
      </c>
      <c r="E218" s="5">
        <v>45541</v>
      </c>
      <c r="F218" s="5">
        <v>45553</v>
      </c>
      <c r="G218">
        <f t="shared" si="6"/>
        <v>12</v>
      </c>
      <c r="H218" t="s">
        <v>70</v>
      </c>
      <c r="I218" t="s">
        <v>295</v>
      </c>
      <c r="J218" s="2">
        <v>31197</v>
      </c>
      <c r="K218" s="6">
        <v>0.8</v>
      </c>
      <c r="L218" t="s">
        <v>20</v>
      </c>
      <c r="M218" s="3">
        <f t="shared" si="7"/>
        <v>0</v>
      </c>
      <c r="N218" s="9" t="str" cm="1">
        <f t="array" ref="N218">_xlfn.IFS(C218&lt;18,"Under 18",C218&lt;36,"18-35",C218&lt;51,"36-50",C218&lt;66,"51-65",C218&gt;=66,"Above 65")</f>
        <v>51-65</v>
      </c>
      <c r="O218" s="6"/>
    </row>
    <row r="219" spans="1:15" x14ac:dyDescent="0.35">
      <c r="A219" t="s">
        <v>473</v>
      </c>
      <c r="B219" t="s">
        <v>474</v>
      </c>
      <c r="C219">
        <v>46</v>
      </c>
      <c r="D219" t="s">
        <v>12</v>
      </c>
      <c r="E219" s="5">
        <v>45658</v>
      </c>
      <c r="F219" s="5">
        <v>45668</v>
      </c>
      <c r="G219">
        <f t="shared" si="6"/>
        <v>10</v>
      </c>
      <c r="H219" t="s">
        <v>13</v>
      </c>
      <c r="I219" t="s">
        <v>19</v>
      </c>
      <c r="J219" s="2">
        <v>23891.3</v>
      </c>
      <c r="K219" s="6">
        <v>0.9</v>
      </c>
      <c r="L219" t="s">
        <v>15</v>
      </c>
      <c r="M219" s="3">
        <f t="shared" si="7"/>
        <v>23891.3</v>
      </c>
      <c r="N219" s="9" t="str" cm="1">
        <f t="array" ref="N219">_xlfn.IFS(C219&lt;18,"Under 18",C219&lt;36,"18-35",C219&lt;51,"36-50",C219&lt;66,"51-65",C219&gt;=66,"Above 65")</f>
        <v>36-50</v>
      </c>
      <c r="O219" s="6"/>
    </row>
    <row r="220" spans="1:15" x14ac:dyDescent="0.35">
      <c r="A220" t="s">
        <v>475</v>
      </c>
      <c r="B220" t="s">
        <v>476</v>
      </c>
      <c r="C220">
        <v>66</v>
      </c>
      <c r="D220" t="s">
        <v>12</v>
      </c>
      <c r="E220" s="5">
        <v>45978</v>
      </c>
      <c r="F220" s="5">
        <v>45988</v>
      </c>
      <c r="G220">
        <f t="shared" si="6"/>
        <v>10</v>
      </c>
      <c r="H220" t="s">
        <v>13</v>
      </c>
      <c r="I220" t="s">
        <v>111</v>
      </c>
      <c r="J220" s="2">
        <v>18293.13</v>
      </c>
      <c r="K220" s="6">
        <v>0.6</v>
      </c>
      <c r="L220" t="s">
        <v>25</v>
      </c>
      <c r="M220" s="3">
        <f t="shared" si="7"/>
        <v>0</v>
      </c>
      <c r="N220" s="9" t="str" cm="1">
        <f t="array" ref="N220">_xlfn.IFS(C220&lt;18,"Under 18",C220&lt;36,"18-35",C220&lt;51,"36-50",C220&lt;66,"51-65",C220&gt;=66,"Above 65")</f>
        <v>Above 65</v>
      </c>
      <c r="O220" s="6"/>
    </row>
    <row r="221" spans="1:15" x14ac:dyDescent="0.35">
      <c r="A221" t="s">
        <v>477</v>
      </c>
      <c r="B221" t="s">
        <v>478</v>
      </c>
      <c r="C221">
        <v>28</v>
      </c>
      <c r="D221" t="s">
        <v>18</v>
      </c>
      <c r="E221" s="5">
        <v>45524</v>
      </c>
      <c r="F221" s="5">
        <v>45527</v>
      </c>
      <c r="G221">
        <f t="shared" si="6"/>
        <v>3</v>
      </c>
      <c r="H221" t="s">
        <v>23</v>
      </c>
      <c r="I221" t="s">
        <v>204</v>
      </c>
      <c r="J221" s="2">
        <v>7364.68</v>
      </c>
      <c r="K221" s="6">
        <v>0.7</v>
      </c>
      <c r="L221" t="s">
        <v>20</v>
      </c>
      <c r="M221" s="3">
        <f t="shared" si="7"/>
        <v>0</v>
      </c>
      <c r="N221" s="9" t="str" cm="1">
        <f t="array" ref="N221">_xlfn.IFS(C221&lt;18,"Under 18",C221&lt;36,"18-35",C221&lt;51,"36-50",C221&lt;66,"51-65",C221&gt;=66,"Above 65")</f>
        <v>18-35</v>
      </c>
      <c r="O221" s="6"/>
    </row>
    <row r="222" spans="1:15" x14ac:dyDescent="0.35">
      <c r="A222" t="s">
        <v>479</v>
      </c>
      <c r="B222" t="s">
        <v>480</v>
      </c>
      <c r="C222">
        <v>3</v>
      </c>
      <c r="D222" t="s">
        <v>18</v>
      </c>
      <c r="E222" s="5">
        <v>45469</v>
      </c>
      <c r="F222" s="5">
        <v>45471</v>
      </c>
      <c r="G222">
        <f t="shared" si="6"/>
        <v>2</v>
      </c>
      <c r="H222" t="s">
        <v>49</v>
      </c>
      <c r="I222" t="s">
        <v>50</v>
      </c>
      <c r="J222" s="2">
        <v>2403.02</v>
      </c>
      <c r="K222" s="6">
        <v>0.8</v>
      </c>
      <c r="L222" t="s">
        <v>15</v>
      </c>
      <c r="M222" s="3">
        <f t="shared" si="7"/>
        <v>2403.02</v>
      </c>
      <c r="N222" s="9" t="str" cm="1">
        <f t="array" ref="N222">_xlfn.IFS(C222&lt;18,"Under 18",C222&lt;36,"18-35",C222&lt;51,"36-50",C222&lt;66,"51-65",C222&gt;=66,"Above 65")</f>
        <v>Under 18</v>
      </c>
      <c r="O222" s="6"/>
    </row>
    <row r="223" spans="1:15" x14ac:dyDescent="0.35">
      <c r="A223" t="s">
        <v>481</v>
      </c>
      <c r="B223" t="s">
        <v>482</v>
      </c>
      <c r="C223">
        <v>68</v>
      </c>
      <c r="D223" t="s">
        <v>12</v>
      </c>
      <c r="E223" s="5">
        <v>45990</v>
      </c>
      <c r="F223" s="5">
        <v>46000</v>
      </c>
      <c r="G223">
        <f t="shared" si="6"/>
        <v>10</v>
      </c>
      <c r="H223" t="s">
        <v>70</v>
      </c>
      <c r="I223" t="s">
        <v>94</v>
      </c>
      <c r="J223" s="2">
        <v>22054.65</v>
      </c>
      <c r="K223" s="6">
        <v>0.8</v>
      </c>
      <c r="L223" t="s">
        <v>20</v>
      </c>
      <c r="M223" s="3">
        <f t="shared" si="7"/>
        <v>0</v>
      </c>
      <c r="N223" s="9" t="str" cm="1">
        <f t="array" ref="N223">_xlfn.IFS(C223&lt;18,"Under 18",C223&lt;36,"18-35",C223&lt;51,"36-50",C223&lt;66,"51-65",C223&gt;=66,"Above 65")</f>
        <v>Above 65</v>
      </c>
      <c r="O223" s="6"/>
    </row>
    <row r="224" spans="1:15" x14ac:dyDescent="0.35">
      <c r="A224" t="s">
        <v>483</v>
      </c>
      <c r="B224" t="s">
        <v>484</v>
      </c>
      <c r="C224">
        <v>40</v>
      </c>
      <c r="D224" t="s">
        <v>12</v>
      </c>
      <c r="E224" s="5">
        <v>46013</v>
      </c>
      <c r="F224" s="5">
        <v>46018</v>
      </c>
      <c r="G224">
        <f t="shared" si="6"/>
        <v>5</v>
      </c>
      <c r="H224" t="s">
        <v>31</v>
      </c>
      <c r="I224" t="s">
        <v>44</v>
      </c>
      <c r="J224" s="2">
        <v>6331.28</v>
      </c>
      <c r="K224" s="6">
        <v>0.8</v>
      </c>
      <c r="L224" t="s">
        <v>25</v>
      </c>
      <c r="M224" s="3">
        <f t="shared" si="7"/>
        <v>0</v>
      </c>
      <c r="N224" s="9" t="str" cm="1">
        <f t="array" ref="N224">_xlfn.IFS(C224&lt;18,"Under 18",C224&lt;36,"18-35",C224&lt;51,"36-50",C224&lt;66,"51-65",C224&gt;=66,"Above 65")</f>
        <v>36-50</v>
      </c>
      <c r="O224" s="6"/>
    </row>
    <row r="225" spans="1:15" x14ac:dyDescent="0.35">
      <c r="A225" t="s">
        <v>485</v>
      </c>
      <c r="B225" t="s">
        <v>486</v>
      </c>
      <c r="C225">
        <v>63</v>
      </c>
      <c r="D225" t="s">
        <v>12</v>
      </c>
      <c r="E225" s="5">
        <v>45574</v>
      </c>
      <c r="F225" s="5">
        <v>45584</v>
      </c>
      <c r="G225">
        <f t="shared" si="6"/>
        <v>10</v>
      </c>
      <c r="H225" t="s">
        <v>13</v>
      </c>
      <c r="I225" t="s">
        <v>165</v>
      </c>
      <c r="J225" s="2">
        <v>27345.03</v>
      </c>
      <c r="K225" s="6">
        <v>1</v>
      </c>
      <c r="L225" t="s">
        <v>20</v>
      </c>
      <c r="M225" s="3">
        <f t="shared" si="7"/>
        <v>0</v>
      </c>
      <c r="N225" s="9" t="str" cm="1">
        <f t="array" ref="N225">_xlfn.IFS(C225&lt;18,"Under 18",C225&lt;36,"18-35",C225&lt;51,"36-50",C225&lt;66,"51-65",C225&gt;=66,"Above 65")</f>
        <v>51-65</v>
      </c>
      <c r="O225" s="6"/>
    </row>
    <row r="226" spans="1:15" x14ac:dyDescent="0.35">
      <c r="A226" t="s">
        <v>487</v>
      </c>
      <c r="B226" t="s">
        <v>488</v>
      </c>
      <c r="C226">
        <v>44</v>
      </c>
      <c r="D226" t="s">
        <v>18</v>
      </c>
      <c r="E226" s="5">
        <v>45414</v>
      </c>
      <c r="F226" s="5">
        <v>45422</v>
      </c>
      <c r="G226">
        <f t="shared" si="6"/>
        <v>8</v>
      </c>
      <c r="H226" t="s">
        <v>60</v>
      </c>
      <c r="I226" t="s">
        <v>61</v>
      </c>
      <c r="J226" s="2">
        <v>11435.94</v>
      </c>
      <c r="K226" s="6">
        <v>0.9</v>
      </c>
      <c r="L226" t="s">
        <v>15</v>
      </c>
      <c r="M226" s="3">
        <f t="shared" si="7"/>
        <v>11435.94</v>
      </c>
      <c r="N226" s="9" t="str" cm="1">
        <f t="array" ref="N226">_xlfn.IFS(C226&lt;18,"Under 18",C226&lt;36,"18-35",C226&lt;51,"36-50",C226&lt;66,"51-65",C226&gt;=66,"Above 65")</f>
        <v>36-50</v>
      </c>
      <c r="O226" s="6"/>
    </row>
    <row r="227" spans="1:15" x14ac:dyDescent="0.35">
      <c r="A227" t="s">
        <v>489</v>
      </c>
      <c r="B227" t="s">
        <v>490</v>
      </c>
      <c r="C227">
        <v>70</v>
      </c>
      <c r="D227" t="s">
        <v>12</v>
      </c>
      <c r="E227" s="5">
        <v>45553</v>
      </c>
      <c r="F227" s="5">
        <v>45554</v>
      </c>
      <c r="G227">
        <f t="shared" si="6"/>
        <v>1</v>
      </c>
      <c r="H227" t="s">
        <v>23</v>
      </c>
      <c r="I227" t="s">
        <v>333</v>
      </c>
      <c r="J227" s="2">
        <v>859.95</v>
      </c>
      <c r="K227" s="6">
        <v>0.6</v>
      </c>
      <c r="L227" t="s">
        <v>20</v>
      </c>
      <c r="M227" s="3">
        <f t="shared" si="7"/>
        <v>0</v>
      </c>
      <c r="N227" s="9" t="str" cm="1">
        <f t="array" ref="N227">_xlfn.IFS(C227&lt;18,"Under 18",C227&lt;36,"18-35",C227&lt;51,"36-50",C227&lt;66,"51-65",C227&gt;=66,"Above 65")</f>
        <v>Above 65</v>
      </c>
      <c r="O227" s="6"/>
    </row>
    <row r="228" spans="1:15" x14ac:dyDescent="0.35">
      <c r="A228" t="s">
        <v>491</v>
      </c>
      <c r="B228" t="s">
        <v>492</v>
      </c>
      <c r="C228">
        <v>1</v>
      </c>
      <c r="D228" t="s">
        <v>12</v>
      </c>
      <c r="E228" s="5">
        <v>45400</v>
      </c>
      <c r="F228" s="5">
        <v>45403</v>
      </c>
      <c r="G228">
        <f t="shared" si="6"/>
        <v>3</v>
      </c>
      <c r="H228" t="s">
        <v>49</v>
      </c>
      <c r="I228" t="s">
        <v>120</v>
      </c>
      <c r="J228" s="2">
        <v>2590.21</v>
      </c>
      <c r="K228" s="6">
        <v>0.9</v>
      </c>
      <c r="L228" t="s">
        <v>20</v>
      </c>
      <c r="M228" s="3">
        <f t="shared" si="7"/>
        <v>0</v>
      </c>
      <c r="N228" s="9" t="str" cm="1">
        <f t="array" ref="N228">_xlfn.IFS(C228&lt;18,"Under 18",C228&lt;36,"18-35",C228&lt;51,"36-50",C228&lt;66,"51-65",C228&gt;=66,"Above 65")</f>
        <v>Under 18</v>
      </c>
      <c r="O228" s="6"/>
    </row>
    <row r="229" spans="1:15" x14ac:dyDescent="0.35">
      <c r="A229" t="s">
        <v>493</v>
      </c>
      <c r="B229" t="s">
        <v>17</v>
      </c>
      <c r="C229">
        <v>48</v>
      </c>
      <c r="D229" t="s">
        <v>18</v>
      </c>
      <c r="E229" s="5">
        <v>45864</v>
      </c>
      <c r="F229" s="5">
        <v>45865</v>
      </c>
      <c r="G229">
        <f t="shared" si="6"/>
        <v>1</v>
      </c>
      <c r="H229" t="s">
        <v>31</v>
      </c>
      <c r="I229" t="s">
        <v>44</v>
      </c>
      <c r="J229" s="2">
        <v>791.92</v>
      </c>
      <c r="K229" s="6">
        <v>0.5</v>
      </c>
      <c r="L229" t="s">
        <v>25</v>
      </c>
      <c r="M229" s="3">
        <f t="shared" si="7"/>
        <v>0</v>
      </c>
      <c r="N229" s="9" t="str" cm="1">
        <f t="array" ref="N229">_xlfn.IFS(C229&lt;18,"Under 18",C229&lt;36,"18-35",C229&lt;51,"36-50",C229&lt;66,"51-65",C229&gt;=66,"Above 65")</f>
        <v>36-50</v>
      </c>
      <c r="O229" s="6"/>
    </row>
    <row r="230" spans="1:15" x14ac:dyDescent="0.35">
      <c r="A230" t="s">
        <v>494</v>
      </c>
      <c r="B230" t="s">
        <v>181</v>
      </c>
      <c r="C230">
        <v>48</v>
      </c>
      <c r="D230" t="s">
        <v>18</v>
      </c>
      <c r="E230" s="5">
        <v>45514</v>
      </c>
      <c r="F230" s="5">
        <v>45517</v>
      </c>
      <c r="G230">
        <f t="shared" si="6"/>
        <v>3</v>
      </c>
      <c r="H230" t="s">
        <v>23</v>
      </c>
      <c r="I230" t="s">
        <v>221</v>
      </c>
      <c r="J230" s="2">
        <v>3524.43</v>
      </c>
      <c r="K230" s="6">
        <v>0.8</v>
      </c>
      <c r="L230" t="s">
        <v>15</v>
      </c>
      <c r="M230" s="3">
        <f t="shared" si="7"/>
        <v>3524.43</v>
      </c>
      <c r="N230" s="9" t="str" cm="1">
        <f t="array" ref="N230">_xlfn.IFS(C230&lt;18,"Under 18",C230&lt;36,"18-35",C230&lt;51,"36-50",C230&lt;66,"51-65",C230&gt;=66,"Above 65")</f>
        <v>36-50</v>
      </c>
      <c r="O230" s="6"/>
    </row>
    <row r="231" spans="1:15" x14ac:dyDescent="0.35">
      <c r="A231" t="s">
        <v>495</v>
      </c>
      <c r="B231" t="s">
        <v>496</v>
      </c>
      <c r="C231">
        <v>43</v>
      </c>
      <c r="D231" t="s">
        <v>12</v>
      </c>
      <c r="E231" s="5">
        <v>45455</v>
      </c>
      <c r="F231" s="5">
        <v>45457</v>
      </c>
      <c r="G231">
        <f t="shared" si="6"/>
        <v>2</v>
      </c>
      <c r="H231" t="s">
        <v>60</v>
      </c>
      <c r="I231" t="s">
        <v>97</v>
      </c>
      <c r="J231" s="2">
        <v>4464.59</v>
      </c>
      <c r="K231" s="6">
        <v>0</v>
      </c>
      <c r="L231" t="s">
        <v>25</v>
      </c>
      <c r="M231" s="3">
        <f t="shared" si="7"/>
        <v>0</v>
      </c>
      <c r="N231" s="9" t="str" cm="1">
        <f t="array" ref="N231">_xlfn.IFS(C231&lt;18,"Under 18",C231&lt;36,"18-35",C231&lt;51,"36-50",C231&lt;66,"51-65",C231&gt;=66,"Above 65")</f>
        <v>36-50</v>
      </c>
      <c r="O231" s="6"/>
    </row>
    <row r="232" spans="1:15" x14ac:dyDescent="0.35">
      <c r="A232" t="s">
        <v>497</v>
      </c>
      <c r="B232" t="s">
        <v>498</v>
      </c>
      <c r="C232">
        <v>24</v>
      </c>
      <c r="D232" t="s">
        <v>18</v>
      </c>
      <c r="E232" s="5">
        <v>45370</v>
      </c>
      <c r="F232" s="5">
        <v>45373</v>
      </c>
      <c r="G232">
        <f t="shared" si="6"/>
        <v>3</v>
      </c>
      <c r="H232" t="s">
        <v>23</v>
      </c>
      <c r="I232" t="s">
        <v>333</v>
      </c>
      <c r="J232" s="2">
        <v>4867.6099999999997</v>
      </c>
      <c r="K232" s="6">
        <v>0.7</v>
      </c>
      <c r="L232" t="s">
        <v>15</v>
      </c>
      <c r="M232" s="3">
        <f t="shared" si="7"/>
        <v>4867.6099999999997</v>
      </c>
      <c r="N232" s="9" t="str" cm="1">
        <f t="array" ref="N232">_xlfn.IFS(C232&lt;18,"Under 18",C232&lt;36,"18-35",C232&lt;51,"36-50",C232&lt;66,"51-65",C232&gt;=66,"Above 65")</f>
        <v>18-35</v>
      </c>
      <c r="O232" s="6"/>
    </row>
    <row r="233" spans="1:15" x14ac:dyDescent="0.35">
      <c r="A233" t="s">
        <v>499</v>
      </c>
      <c r="B233" t="s">
        <v>500</v>
      </c>
      <c r="C233">
        <v>41</v>
      </c>
      <c r="D233" t="s">
        <v>12</v>
      </c>
      <c r="E233" s="5">
        <v>45605</v>
      </c>
      <c r="F233" s="5">
        <v>45609</v>
      </c>
      <c r="G233">
        <f t="shared" si="6"/>
        <v>4</v>
      </c>
      <c r="H233" t="s">
        <v>13</v>
      </c>
      <c r="I233" t="s">
        <v>165</v>
      </c>
      <c r="J233" s="2">
        <v>5584.74</v>
      </c>
      <c r="K233" s="6">
        <v>1</v>
      </c>
      <c r="L233" t="s">
        <v>15</v>
      </c>
      <c r="M233" s="3">
        <f t="shared" si="7"/>
        <v>5584.74</v>
      </c>
      <c r="N233" s="9" t="str" cm="1">
        <f t="array" ref="N233">_xlfn.IFS(C233&lt;18,"Under 18",C233&lt;36,"18-35",C233&lt;51,"36-50",C233&lt;66,"51-65",C233&gt;=66,"Above 65")</f>
        <v>36-50</v>
      </c>
      <c r="O233" s="6"/>
    </row>
    <row r="234" spans="1:15" x14ac:dyDescent="0.35">
      <c r="A234" t="s">
        <v>501</v>
      </c>
      <c r="B234" t="s">
        <v>502</v>
      </c>
      <c r="C234">
        <v>51</v>
      </c>
      <c r="D234" t="s">
        <v>18</v>
      </c>
      <c r="E234" s="5">
        <v>45782</v>
      </c>
      <c r="F234" s="5">
        <v>45784</v>
      </c>
      <c r="G234">
        <f t="shared" si="6"/>
        <v>2</v>
      </c>
      <c r="H234" t="s">
        <v>23</v>
      </c>
      <c r="I234" t="s">
        <v>24</v>
      </c>
      <c r="J234" s="2">
        <v>4718.74</v>
      </c>
      <c r="K234" s="6">
        <v>0.8</v>
      </c>
      <c r="L234" t="s">
        <v>20</v>
      </c>
      <c r="M234" s="3">
        <f t="shared" si="7"/>
        <v>0</v>
      </c>
      <c r="N234" s="9" t="str" cm="1">
        <f t="array" ref="N234">_xlfn.IFS(C234&lt;18,"Under 18",C234&lt;36,"18-35",C234&lt;51,"36-50",C234&lt;66,"51-65",C234&gt;=66,"Above 65")</f>
        <v>51-65</v>
      </c>
      <c r="O234" s="6"/>
    </row>
    <row r="235" spans="1:15" x14ac:dyDescent="0.35">
      <c r="A235" t="s">
        <v>503</v>
      </c>
      <c r="B235" t="s">
        <v>504</v>
      </c>
      <c r="C235">
        <v>10</v>
      </c>
      <c r="D235" t="s">
        <v>12</v>
      </c>
      <c r="E235" s="5">
        <v>45702</v>
      </c>
      <c r="F235" s="5">
        <v>45703</v>
      </c>
      <c r="G235">
        <f t="shared" si="6"/>
        <v>1</v>
      </c>
      <c r="H235" t="s">
        <v>49</v>
      </c>
      <c r="I235" t="s">
        <v>378</v>
      </c>
      <c r="J235" s="2">
        <v>1605.56</v>
      </c>
      <c r="K235" s="6">
        <v>0.8</v>
      </c>
      <c r="L235" t="s">
        <v>20</v>
      </c>
      <c r="M235" s="3">
        <f t="shared" si="7"/>
        <v>0</v>
      </c>
      <c r="N235" s="9" t="str" cm="1">
        <f t="array" ref="N235">_xlfn.IFS(C235&lt;18,"Under 18",C235&lt;36,"18-35",C235&lt;51,"36-50",C235&lt;66,"51-65",C235&gt;=66,"Above 65")</f>
        <v>Under 18</v>
      </c>
      <c r="O235" s="6"/>
    </row>
    <row r="236" spans="1:15" x14ac:dyDescent="0.35">
      <c r="A236" t="s">
        <v>505</v>
      </c>
      <c r="B236" t="s">
        <v>506</v>
      </c>
      <c r="C236">
        <v>75</v>
      </c>
      <c r="D236" t="s">
        <v>12</v>
      </c>
      <c r="E236" s="5">
        <v>45716</v>
      </c>
      <c r="F236" s="5">
        <v>45717</v>
      </c>
      <c r="G236">
        <f t="shared" si="6"/>
        <v>1</v>
      </c>
      <c r="H236" t="s">
        <v>31</v>
      </c>
      <c r="I236" t="s">
        <v>35</v>
      </c>
      <c r="J236" s="2">
        <v>1383.31</v>
      </c>
      <c r="K236" s="6">
        <v>0.9</v>
      </c>
      <c r="L236" t="s">
        <v>15</v>
      </c>
      <c r="M236" s="3">
        <f t="shared" si="7"/>
        <v>1383.31</v>
      </c>
      <c r="N236" s="9" t="str" cm="1">
        <f t="array" ref="N236">_xlfn.IFS(C236&lt;18,"Under 18",C236&lt;36,"18-35",C236&lt;51,"36-50",C236&lt;66,"51-65",C236&gt;=66,"Above 65")</f>
        <v>Above 65</v>
      </c>
      <c r="O236" s="6"/>
    </row>
    <row r="237" spans="1:15" x14ac:dyDescent="0.35">
      <c r="A237" t="s">
        <v>507</v>
      </c>
      <c r="B237" t="s">
        <v>508</v>
      </c>
      <c r="C237">
        <v>50</v>
      </c>
      <c r="D237" t="s">
        <v>18</v>
      </c>
      <c r="E237" s="5">
        <v>45747</v>
      </c>
      <c r="F237" s="5">
        <v>45755</v>
      </c>
      <c r="G237">
        <f t="shared" si="6"/>
        <v>8</v>
      </c>
      <c r="H237" t="s">
        <v>13</v>
      </c>
      <c r="I237" t="s">
        <v>111</v>
      </c>
      <c r="J237" s="2">
        <v>19135.11</v>
      </c>
      <c r="K237" s="6">
        <v>0.8</v>
      </c>
      <c r="L237" t="s">
        <v>15</v>
      </c>
      <c r="M237" s="3">
        <f t="shared" si="7"/>
        <v>19135.11</v>
      </c>
      <c r="N237" s="9" t="str" cm="1">
        <f t="array" ref="N237">_xlfn.IFS(C237&lt;18,"Under 18",C237&lt;36,"18-35",C237&lt;51,"36-50",C237&lt;66,"51-65",C237&gt;=66,"Above 65")</f>
        <v>36-50</v>
      </c>
      <c r="O237" s="6"/>
    </row>
    <row r="238" spans="1:15" x14ac:dyDescent="0.35">
      <c r="A238" t="s">
        <v>509</v>
      </c>
      <c r="B238" t="s">
        <v>510</v>
      </c>
      <c r="C238">
        <v>46</v>
      </c>
      <c r="D238" t="s">
        <v>18</v>
      </c>
      <c r="E238" s="5">
        <v>45578</v>
      </c>
      <c r="F238" s="5">
        <v>45582</v>
      </c>
      <c r="G238">
        <f t="shared" si="6"/>
        <v>4</v>
      </c>
      <c r="H238" t="s">
        <v>60</v>
      </c>
      <c r="I238" t="s">
        <v>77</v>
      </c>
      <c r="J238" s="2">
        <v>9234.25</v>
      </c>
      <c r="K238" s="6">
        <v>0.7</v>
      </c>
      <c r="L238" t="s">
        <v>20</v>
      </c>
      <c r="M238" s="3">
        <f t="shared" si="7"/>
        <v>0</v>
      </c>
      <c r="N238" s="9" t="str" cm="1">
        <f t="array" ref="N238">_xlfn.IFS(C238&lt;18,"Under 18",C238&lt;36,"18-35",C238&lt;51,"36-50",C238&lt;66,"51-65",C238&gt;=66,"Above 65")</f>
        <v>36-50</v>
      </c>
      <c r="O238" s="6"/>
    </row>
    <row r="239" spans="1:15" x14ac:dyDescent="0.35">
      <c r="A239" t="s">
        <v>511</v>
      </c>
      <c r="B239" t="s">
        <v>512</v>
      </c>
      <c r="C239">
        <v>83</v>
      </c>
      <c r="D239" t="s">
        <v>12</v>
      </c>
      <c r="E239" s="5">
        <v>45467</v>
      </c>
      <c r="F239" s="5">
        <v>45472</v>
      </c>
      <c r="G239">
        <f t="shared" si="6"/>
        <v>5</v>
      </c>
      <c r="H239" t="s">
        <v>13</v>
      </c>
      <c r="I239" t="s">
        <v>111</v>
      </c>
      <c r="J239" s="2">
        <v>7388.36</v>
      </c>
      <c r="K239" s="6">
        <v>0.9</v>
      </c>
      <c r="L239" t="s">
        <v>15</v>
      </c>
      <c r="M239" s="3">
        <f t="shared" si="7"/>
        <v>7388.36</v>
      </c>
      <c r="N239" s="9" t="str" cm="1">
        <f t="array" ref="N239">_xlfn.IFS(C239&lt;18,"Under 18",C239&lt;36,"18-35",C239&lt;51,"36-50",C239&lt;66,"51-65",C239&gt;=66,"Above 65")</f>
        <v>Above 65</v>
      </c>
      <c r="O239" s="6"/>
    </row>
    <row r="240" spans="1:15" x14ac:dyDescent="0.35">
      <c r="A240" t="s">
        <v>513</v>
      </c>
      <c r="B240" t="s">
        <v>514</v>
      </c>
      <c r="C240">
        <v>17</v>
      </c>
      <c r="D240" t="s">
        <v>18</v>
      </c>
      <c r="E240" s="5">
        <v>45465</v>
      </c>
      <c r="F240" s="5">
        <v>45468</v>
      </c>
      <c r="G240">
        <f t="shared" si="6"/>
        <v>3</v>
      </c>
      <c r="H240" t="s">
        <v>49</v>
      </c>
      <c r="I240" t="s">
        <v>123</v>
      </c>
      <c r="J240" s="2">
        <v>2080.9499999999998</v>
      </c>
      <c r="K240" s="6">
        <v>1</v>
      </c>
      <c r="L240" t="s">
        <v>25</v>
      </c>
      <c r="M240" s="3">
        <f t="shared" si="7"/>
        <v>0</v>
      </c>
      <c r="N240" s="9" t="str" cm="1">
        <f t="array" ref="N240">_xlfn.IFS(C240&lt;18,"Under 18",C240&lt;36,"18-35",C240&lt;51,"36-50",C240&lt;66,"51-65",C240&gt;=66,"Above 65")</f>
        <v>Under 18</v>
      </c>
      <c r="O240" s="6"/>
    </row>
    <row r="241" spans="1:15" x14ac:dyDescent="0.35">
      <c r="A241" t="s">
        <v>515</v>
      </c>
      <c r="B241" t="s">
        <v>516</v>
      </c>
      <c r="C241">
        <v>70</v>
      </c>
      <c r="D241" t="s">
        <v>12</v>
      </c>
      <c r="E241" s="5">
        <v>45301</v>
      </c>
      <c r="F241" s="5">
        <v>45303</v>
      </c>
      <c r="G241">
        <f t="shared" si="6"/>
        <v>2</v>
      </c>
      <c r="H241" t="s">
        <v>60</v>
      </c>
      <c r="I241" t="s">
        <v>133</v>
      </c>
      <c r="J241" s="2">
        <v>5457.97</v>
      </c>
      <c r="K241" s="6">
        <v>0.8</v>
      </c>
      <c r="L241" t="s">
        <v>15</v>
      </c>
      <c r="M241" s="3">
        <f t="shared" si="7"/>
        <v>5457.97</v>
      </c>
      <c r="N241" s="9" t="str" cm="1">
        <f t="array" ref="N241">_xlfn.IFS(C241&lt;18,"Under 18",C241&lt;36,"18-35",C241&lt;51,"36-50",C241&lt;66,"51-65",C241&gt;=66,"Above 65")</f>
        <v>Above 65</v>
      </c>
      <c r="O241" s="6"/>
    </row>
    <row r="242" spans="1:15" x14ac:dyDescent="0.35">
      <c r="A242" t="s">
        <v>517</v>
      </c>
      <c r="B242" t="s">
        <v>27</v>
      </c>
      <c r="C242">
        <v>42</v>
      </c>
      <c r="D242" t="s">
        <v>18</v>
      </c>
      <c r="E242" s="5">
        <v>45522</v>
      </c>
      <c r="F242" s="5">
        <v>45534</v>
      </c>
      <c r="G242">
        <f t="shared" si="6"/>
        <v>12</v>
      </c>
      <c r="H242" t="s">
        <v>60</v>
      </c>
      <c r="I242" t="s">
        <v>74</v>
      </c>
      <c r="J242" s="2">
        <v>15047.59</v>
      </c>
      <c r="K242" s="6">
        <v>0.8</v>
      </c>
      <c r="L242" t="s">
        <v>15</v>
      </c>
      <c r="M242" s="3">
        <f t="shared" si="7"/>
        <v>15047.59</v>
      </c>
      <c r="N242" s="9" t="str" cm="1">
        <f t="array" ref="N242">_xlfn.IFS(C242&lt;18,"Under 18",C242&lt;36,"18-35",C242&lt;51,"36-50",C242&lt;66,"51-65",C242&gt;=66,"Above 65")</f>
        <v>36-50</v>
      </c>
      <c r="O242" s="6"/>
    </row>
    <row r="243" spans="1:15" x14ac:dyDescent="0.35">
      <c r="A243" t="s">
        <v>518</v>
      </c>
      <c r="B243" t="s">
        <v>519</v>
      </c>
      <c r="C243">
        <v>16</v>
      </c>
      <c r="D243" t="s">
        <v>18</v>
      </c>
      <c r="E243" s="5">
        <v>45630</v>
      </c>
      <c r="F243" s="5">
        <v>45632</v>
      </c>
      <c r="G243">
        <f t="shared" si="6"/>
        <v>2</v>
      </c>
      <c r="H243" t="s">
        <v>49</v>
      </c>
      <c r="I243" t="s">
        <v>378</v>
      </c>
      <c r="J243" s="2">
        <v>2737.97</v>
      </c>
      <c r="K243" s="6">
        <v>0.9</v>
      </c>
      <c r="L243" t="s">
        <v>15</v>
      </c>
      <c r="M243" s="3">
        <f t="shared" si="7"/>
        <v>2737.97</v>
      </c>
      <c r="N243" s="9" t="str" cm="1">
        <f t="array" ref="N243">_xlfn.IFS(C243&lt;18,"Under 18",C243&lt;36,"18-35",C243&lt;51,"36-50",C243&lt;66,"51-65",C243&gt;=66,"Above 65")</f>
        <v>Under 18</v>
      </c>
      <c r="O243" s="6"/>
    </row>
    <row r="244" spans="1:15" x14ac:dyDescent="0.35">
      <c r="A244" t="s">
        <v>520</v>
      </c>
      <c r="B244" t="s">
        <v>482</v>
      </c>
      <c r="C244">
        <v>58</v>
      </c>
      <c r="D244" t="s">
        <v>12</v>
      </c>
      <c r="E244" s="5">
        <v>45650</v>
      </c>
      <c r="F244" s="5">
        <v>45664</v>
      </c>
      <c r="G244">
        <f t="shared" si="6"/>
        <v>14</v>
      </c>
      <c r="H244" t="s">
        <v>60</v>
      </c>
      <c r="I244" t="s">
        <v>74</v>
      </c>
      <c r="J244" s="2">
        <v>19026.97</v>
      </c>
      <c r="K244" s="6">
        <v>0.8</v>
      </c>
      <c r="L244" t="s">
        <v>20</v>
      </c>
      <c r="M244" s="3">
        <f t="shared" si="7"/>
        <v>0</v>
      </c>
      <c r="N244" s="9" t="str" cm="1">
        <f t="array" ref="N244">_xlfn.IFS(C244&lt;18,"Under 18",C244&lt;36,"18-35",C244&lt;51,"36-50",C244&lt;66,"51-65",C244&gt;=66,"Above 65")</f>
        <v>51-65</v>
      </c>
      <c r="O244" s="6"/>
    </row>
    <row r="245" spans="1:15" x14ac:dyDescent="0.35">
      <c r="A245" t="s">
        <v>521</v>
      </c>
      <c r="B245" t="s">
        <v>196</v>
      </c>
      <c r="C245">
        <v>35</v>
      </c>
      <c r="D245" t="s">
        <v>12</v>
      </c>
      <c r="E245" s="5">
        <v>45323</v>
      </c>
      <c r="F245" s="5">
        <v>45326</v>
      </c>
      <c r="G245">
        <f t="shared" si="6"/>
        <v>3</v>
      </c>
      <c r="H245" t="s">
        <v>23</v>
      </c>
      <c r="I245" t="s">
        <v>204</v>
      </c>
      <c r="J245" s="2">
        <v>4955.5</v>
      </c>
      <c r="K245" s="6">
        <v>0.9</v>
      </c>
      <c r="L245" t="s">
        <v>20</v>
      </c>
      <c r="M245" s="3">
        <f t="shared" si="7"/>
        <v>0</v>
      </c>
      <c r="N245" s="9" t="str" cm="1">
        <f t="array" ref="N245">_xlfn.IFS(C245&lt;18,"Under 18",C245&lt;36,"18-35",C245&lt;51,"36-50",C245&lt;66,"51-65",C245&gt;=66,"Above 65")</f>
        <v>18-35</v>
      </c>
      <c r="O245" s="6"/>
    </row>
    <row r="246" spans="1:15" x14ac:dyDescent="0.35">
      <c r="A246" t="s">
        <v>522</v>
      </c>
      <c r="B246" t="s">
        <v>523</v>
      </c>
      <c r="C246">
        <v>58</v>
      </c>
      <c r="D246" t="s">
        <v>18</v>
      </c>
      <c r="E246" s="5">
        <v>45757</v>
      </c>
      <c r="F246" s="5">
        <v>45759</v>
      </c>
      <c r="G246">
        <f t="shared" si="6"/>
        <v>2</v>
      </c>
      <c r="H246" t="s">
        <v>23</v>
      </c>
      <c r="I246" t="s">
        <v>333</v>
      </c>
      <c r="J246" s="2">
        <v>4048.56</v>
      </c>
      <c r="K246" s="6">
        <v>0.8</v>
      </c>
      <c r="L246" t="s">
        <v>20</v>
      </c>
      <c r="M246" s="3">
        <f t="shared" si="7"/>
        <v>0</v>
      </c>
      <c r="N246" s="9" t="str" cm="1">
        <f t="array" ref="N246">_xlfn.IFS(C246&lt;18,"Under 18",C246&lt;36,"18-35",C246&lt;51,"36-50",C246&lt;66,"51-65",C246&gt;=66,"Above 65")</f>
        <v>51-65</v>
      </c>
      <c r="O246" s="6"/>
    </row>
    <row r="247" spans="1:15" x14ac:dyDescent="0.35">
      <c r="A247" t="s">
        <v>524</v>
      </c>
      <c r="B247" t="s">
        <v>525</v>
      </c>
      <c r="C247">
        <v>47</v>
      </c>
      <c r="D247" t="s">
        <v>12</v>
      </c>
      <c r="E247" s="5">
        <v>45995</v>
      </c>
      <c r="F247" s="5">
        <v>46001</v>
      </c>
      <c r="G247">
        <f t="shared" si="6"/>
        <v>6</v>
      </c>
      <c r="H247" t="s">
        <v>31</v>
      </c>
      <c r="I247" t="s">
        <v>234</v>
      </c>
      <c r="J247" s="2">
        <v>6918.6</v>
      </c>
      <c r="K247" s="6">
        <v>0.8</v>
      </c>
      <c r="L247" t="s">
        <v>15</v>
      </c>
      <c r="M247" s="3">
        <f t="shared" si="7"/>
        <v>6918.6</v>
      </c>
      <c r="N247" s="9" t="str" cm="1">
        <f t="array" ref="N247">_xlfn.IFS(C247&lt;18,"Under 18",C247&lt;36,"18-35",C247&lt;51,"36-50",C247&lt;66,"51-65",C247&gt;=66,"Above 65")</f>
        <v>36-50</v>
      </c>
      <c r="O247" s="6"/>
    </row>
    <row r="248" spans="1:15" x14ac:dyDescent="0.35">
      <c r="A248" t="s">
        <v>526</v>
      </c>
      <c r="B248" t="s">
        <v>527</v>
      </c>
      <c r="C248">
        <v>8</v>
      </c>
      <c r="D248" t="s">
        <v>18</v>
      </c>
      <c r="E248" s="5">
        <v>45650</v>
      </c>
      <c r="F248" s="5">
        <v>45653</v>
      </c>
      <c r="G248">
        <f t="shared" si="6"/>
        <v>3</v>
      </c>
      <c r="H248" t="s">
        <v>49</v>
      </c>
      <c r="I248" t="s">
        <v>120</v>
      </c>
      <c r="J248" s="2">
        <v>3846.88</v>
      </c>
      <c r="K248" s="6">
        <v>0.8</v>
      </c>
      <c r="L248" t="s">
        <v>15</v>
      </c>
      <c r="M248" s="3">
        <f t="shared" si="7"/>
        <v>3846.88</v>
      </c>
      <c r="N248" s="9" t="str" cm="1">
        <f t="array" ref="N248">_xlfn.IFS(C248&lt;18,"Under 18",C248&lt;36,"18-35",C248&lt;51,"36-50",C248&lt;66,"51-65",C248&gt;=66,"Above 65")</f>
        <v>Under 18</v>
      </c>
      <c r="O248" s="6"/>
    </row>
    <row r="249" spans="1:15" x14ac:dyDescent="0.35">
      <c r="A249" t="s">
        <v>528</v>
      </c>
      <c r="B249" t="s">
        <v>529</v>
      </c>
      <c r="C249">
        <v>65</v>
      </c>
      <c r="D249" t="s">
        <v>18</v>
      </c>
      <c r="E249" s="5">
        <v>45776</v>
      </c>
      <c r="F249" s="5">
        <v>45780</v>
      </c>
      <c r="G249">
        <f t="shared" si="6"/>
        <v>4</v>
      </c>
      <c r="H249" t="s">
        <v>31</v>
      </c>
      <c r="I249" t="s">
        <v>114</v>
      </c>
      <c r="J249" s="2">
        <v>3019.93</v>
      </c>
      <c r="K249" s="6">
        <v>0.7</v>
      </c>
      <c r="L249" t="s">
        <v>25</v>
      </c>
      <c r="M249" s="3">
        <f t="shared" si="7"/>
        <v>0</v>
      </c>
      <c r="N249" s="9" t="str" cm="1">
        <f t="array" ref="N249">_xlfn.IFS(C249&lt;18,"Under 18",C249&lt;36,"18-35",C249&lt;51,"36-50",C249&lt;66,"51-65",C249&gt;=66,"Above 65")</f>
        <v>51-65</v>
      </c>
      <c r="O249" s="6"/>
    </row>
    <row r="250" spans="1:15" x14ac:dyDescent="0.35">
      <c r="A250" t="s">
        <v>530</v>
      </c>
      <c r="B250" t="s">
        <v>531</v>
      </c>
      <c r="C250">
        <v>4</v>
      </c>
      <c r="D250" t="s">
        <v>12</v>
      </c>
      <c r="E250" s="5">
        <v>45624</v>
      </c>
      <c r="F250" s="5">
        <v>45628</v>
      </c>
      <c r="G250">
        <f t="shared" si="6"/>
        <v>4</v>
      </c>
      <c r="H250" t="s">
        <v>49</v>
      </c>
      <c r="I250" t="s">
        <v>130</v>
      </c>
      <c r="J250" s="2">
        <v>3543.7</v>
      </c>
      <c r="K250" s="6">
        <v>0.9</v>
      </c>
      <c r="L250" t="s">
        <v>20</v>
      </c>
      <c r="M250" s="3">
        <f t="shared" si="7"/>
        <v>0</v>
      </c>
      <c r="N250" s="9" t="str" cm="1">
        <f t="array" ref="N250">_xlfn.IFS(C250&lt;18,"Under 18",C250&lt;36,"18-35",C250&lt;51,"36-50",C250&lt;66,"51-65",C250&gt;=66,"Above 65")</f>
        <v>Under 18</v>
      </c>
      <c r="O250" s="6"/>
    </row>
    <row r="251" spans="1:15" x14ac:dyDescent="0.35">
      <c r="A251" t="s">
        <v>532</v>
      </c>
      <c r="B251" t="s">
        <v>312</v>
      </c>
      <c r="C251">
        <v>55</v>
      </c>
      <c r="D251" t="s">
        <v>12</v>
      </c>
      <c r="E251" s="5">
        <v>45852</v>
      </c>
      <c r="F251" s="5">
        <v>45854</v>
      </c>
      <c r="G251">
        <f t="shared" si="6"/>
        <v>2</v>
      </c>
      <c r="H251" t="s">
        <v>60</v>
      </c>
      <c r="I251" t="s">
        <v>142</v>
      </c>
      <c r="J251" s="2">
        <v>2354.4899999999998</v>
      </c>
      <c r="K251" s="6">
        <v>0.6</v>
      </c>
      <c r="L251" t="s">
        <v>25</v>
      </c>
      <c r="M251" s="3">
        <f t="shared" si="7"/>
        <v>0</v>
      </c>
      <c r="N251" s="9" t="str" cm="1">
        <f t="array" ref="N251">_xlfn.IFS(C251&lt;18,"Under 18",C251&lt;36,"18-35",C251&lt;51,"36-50",C251&lt;66,"51-65",C251&gt;=66,"Above 65")</f>
        <v>51-65</v>
      </c>
      <c r="O251" s="6"/>
    </row>
    <row r="252" spans="1:15" x14ac:dyDescent="0.35">
      <c r="A252" t="s">
        <v>533</v>
      </c>
      <c r="B252" t="s">
        <v>514</v>
      </c>
      <c r="C252">
        <v>47</v>
      </c>
      <c r="D252" t="s">
        <v>18</v>
      </c>
      <c r="E252" s="5">
        <v>45916</v>
      </c>
      <c r="F252" s="5">
        <v>45919</v>
      </c>
      <c r="G252">
        <f t="shared" si="6"/>
        <v>3</v>
      </c>
      <c r="H252" t="s">
        <v>23</v>
      </c>
      <c r="I252" t="s">
        <v>24</v>
      </c>
      <c r="J252" s="2">
        <v>4854.92</v>
      </c>
      <c r="K252" s="6">
        <v>0.7</v>
      </c>
      <c r="L252" t="s">
        <v>25</v>
      </c>
      <c r="M252" s="3">
        <f t="shared" si="7"/>
        <v>0</v>
      </c>
      <c r="N252" s="9" t="str" cm="1">
        <f t="array" ref="N252">_xlfn.IFS(C252&lt;18,"Under 18",C252&lt;36,"18-35",C252&lt;51,"36-50",C252&lt;66,"51-65",C252&gt;=66,"Above 65")</f>
        <v>36-50</v>
      </c>
      <c r="O252" s="6"/>
    </row>
    <row r="253" spans="1:15" x14ac:dyDescent="0.35">
      <c r="A253" t="s">
        <v>534</v>
      </c>
      <c r="B253" t="s">
        <v>272</v>
      </c>
      <c r="C253">
        <v>7</v>
      </c>
      <c r="D253" t="s">
        <v>18</v>
      </c>
      <c r="E253" s="5">
        <v>45478</v>
      </c>
      <c r="F253" s="5">
        <v>45480</v>
      </c>
      <c r="G253">
        <f t="shared" si="6"/>
        <v>2</v>
      </c>
      <c r="H253" t="s">
        <v>49</v>
      </c>
      <c r="I253" t="s">
        <v>378</v>
      </c>
      <c r="J253" s="2">
        <v>2341.4499999999998</v>
      </c>
      <c r="K253" s="6">
        <v>0.9</v>
      </c>
      <c r="L253" t="s">
        <v>20</v>
      </c>
      <c r="M253" s="3">
        <f t="shared" si="7"/>
        <v>0</v>
      </c>
      <c r="N253" s="9" t="str" cm="1">
        <f t="array" ref="N253">_xlfn.IFS(C253&lt;18,"Under 18",C253&lt;36,"18-35",C253&lt;51,"36-50",C253&lt;66,"51-65",C253&gt;=66,"Above 65")</f>
        <v>Under 18</v>
      </c>
      <c r="O253" s="6"/>
    </row>
    <row r="254" spans="1:15" x14ac:dyDescent="0.35">
      <c r="A254" t="s">
        <v>535</v>
      </c>
      <c r="B254" t="s">
        <v>536</v>
      </c>
      <c r="C254">
        <v>8</v>
      </c>
      <c r="D254" t="s">
        <v>12</v>
      </c>
      <c r="E254" s="5">
        <v>45601</v>
      </c>
      <c r="F254" s="5">
        <v>45606</v>
      </c>
      <c r="G254">
        <f t="shared" si="6"/>
        <v>5</v>
      </c>
      <c r="H254" t="s">
        <v>49</v>
      </c>
      <c r="I254" t="s">
        <v>123</v>
      </c>
      <c r="J254" s="2">
        <v>6634.75</v>
      </c>
      <c r="K254" s="6">
        <v>1</v>
      </c>
      <c r="L254" t="s">
        <v>20</v>
      </c>
      <c r="M254" s="3">
        <f t="shared" si="7"/>
        <v>0</v>
      </c>
      <c r="N254" s="9" t="str" cm="1">
        <f t="array" ref="N254">_xlfn.IFS(C254&lt;18,"Under 18",C254&lt;36,"18-35",C254&lt;51,"36-50",C254&lt;66,"51-65",C254&gt;=66,"Above 65")</f>
        <v>Under 18</v>
      </c>
      <c r="O254" s="6"/>
    </row>
    <row r="255" spans="1:15" x14ac:dyDescent="0.35">
      <c r="A255" t="s">
        <v>537</v>
      </c>
      <c r="B255" t="s">
        <v>538</v>
      </c>
      <c r="C255">
        <v>11</v>
      </c>
      <c r="D255" t="s">
        <v>18</v>
      </c>
      <c r="E255" s="5">
        <v>45770</v>
      </c>
      <c r="F255" s="5">
        <v>45773</v>
      </c>
      <c r="G255">
        <f t="shared" si="6"/>
        <v>3</v>
      </c>
      <c r="H255" t="s">
        <v>49</v>
      </c>
      <c r="I255" t="s">
        <v>120</v>
      </c>
      <c r="J255" s="2">
        <v>2307.54</v>
      </c>
      <c r="K255" s="6">
        <v>0.7</v>
      </c>
      <c r="L255" t="s">
        <v>20</v>
      </c>
      <c r="M255" s="3">
        <f t="shared" si="7"/>
        <v>0</v>
      </c>
      <c r="N255" s="9" t="str" cm="1">
        <f t="array" ref="N255">_xlfn.IFS(C255&lt;18,"Under 18",C255&lt;36,"18-35",C255&lt;51,"36-50",C255&lt;66,"51-65",C255&gt;=66,"Above 65")</f>
        <v>Under 18</v>
      </c>
      <c r="O255" s="6"/>
    </row>
    <row r="256" spans="1:15" x14ac:dyDescent="0.35">
      <c r="A256" t="s">
        <v>539</v>
      </c>
      <c r="B256" t="s">
        <v>540</v>
      </c>
      <c r="C256">
        <v>29</v>
      </c>
      <c r="D256" t="s">
        <v>12</v>
      </c>
      <c r="E256" s="5">
        <v>45963</v>
      </c>
      <c r="F256" s="5">
        <v>45968</v>
      </c>
      <c r="G256">
        <f t="shared" si="6"/>
        <v>5</v>
      </c>
      <c r="H256" t="s">
        <v>31</v>
      </c>
      <c r="I256" t="s">
        <v>53</v>
      </c>
      <c r="J256" s="2">
        <v>6481.41</v>
      </c>
      <c r="K256" s="6">
        <v>0.6</v>
      </c>
      <c r="L256" t="s">
        <v>25</v>
      </c>
      <c r="M256" s="3">
        <f t="shared" si="7"/>
        <v>0</v>
      </c>
      <c r="N256" s="9" t="str" cm="1">
        <f t="array" ref="N256">_xlfn.IFS(C256&lt;18,"Under 18",C256&lt;36,"18-35",C256&lt;51,"36-50",C256&lt;66,"51-65",C256&gt;=66,"Above 65")</f>
        <v>18-35</v>
      </c>
      <c r="O256" s="6"/>
    </row>
    <row r="257" spans="1:15" x14ac:dyDescent="0.35">
      <c r="A257" t="s">
        <v>541</v>
      </c>
      <c r="B257" t="s">
        <v>542</v>
      </c>
      <c r="C257">
        <v>43</v>
      </c>
      <c r="D257" t="s">
        <v>12</v>
      </c>
      <c r="E257" s="5">
        <v>45296</v>
      </c>
      <c r="F257" s="5">
        <v>45305</v>
      </c>
      <c r="G257">
        <f t="shared" si="6"/>
        <v>9</v>
      </c>
      <c r="H257" t="s">
        <v>13</v>
      </c>
      <c r="I257" t="s">
        <v>38</v>
      </c>
      <c r="J257" s="2">
        <v>14839.54</v>
      </c>
      <c r="K257" s="6">
        <v>0.7</v>
      </c>
      <c r="L257" t="s">
        <v>25</v>
      </c>
      <c r="M257" s="3">
        <f t="shared" si="7"/>
        <v>0</v>
      </c>
      <c r="N257" s="9" t="str" cm="1">
        <f t="array" ref="N257">_xlfn.IFS(C257&lt;18,"Under 18",C257&lt;36,"18-35",C257&lt;51,"36-50",C257&lt;66,"51-65",C257&gt;=66,"Above 65")</f>
        <v>36-50</v>
      </c>
      <c r="O257" s="6"/>
    </row>
    <row r="258" spans="1:15" x14ac:dyDescent="0.35">
      <c r="A258" t="s">
        <v>543</v>
      </c>
      <c r="B258" t="s">
        <v>544</v>
      </c>
      <c r="C258">
        <v>31</v>
      </c>
      <c r="D258" t="s">
        <v>18</v>
      </c>
      <c r="E258" s="5">
        <v>45982</v>
      </c>
      <c r="F258" s="5">
        <v>45987</v>
      </c>
      <c r="G258">
        <f t="shared" si="6"/>
        <v>5</v>
      </c>
      <c r="H258" t="s">
        <v>70</v>
      </c>
      <c r="I258" t="s">
        <v>94</v>
      </c>
      <c r="J258" s="2">
        <v>8724.32</v>
      </c>
      <c r="K258" s="6">
        <v>0.8</v>
      </c>
      <c r="L258" t="s">
        <v>20</v>
      </c>
      <c r="M258" s="3">
        <f t="shared" si="7"/>
        <v>0</v>
      </c>
      <c r="N258" s="9" t="str" cm="1">
        <f t="array" ref="N258">_xlfn.IFS(C258&lt;18,"Under 18",C258&lt;36,"18-35",C258&lt;51,"36-50",C258&lt;66,"51-65",C258&gt;=66,"Above 65")</f>
        <v>18-35</v>
      </c>
      <c r="O258" s="6"/>
    </row>
    <row r="259" spans="1:15" x14ac:dyDescent="0.35">
      <c r="A259" t="s">
        <v>545</v>
      </c>
      <c r="B259" t="s">
        <v>546</v>
      </c>
      <c r="C259">
        <v>74</v>
      </c>
      <c r="D259" t="s">
        <v>18</v>
      </c>
      <c r="E259" s="5">
        <v>45764</v>
      </c>
      <c r="F259" s="5">
        <v>45770</v>
      </c>
      <c r="G259">
        <f t="shared" ref="G259:G322" si="8">DATEDIF(E259,F259,"D")</f>
        <v>6</v>
      </c>
      <c r="H259" t="s">
        <v>31</v>
      </c>
      <c r="I259" t="s">
        <v>32</v>
      </c>
      <c r="J259" s="2">
        <v>8724.0499999999993</v>
      </c>
      <c r="K259" s="6">
        <v>0.5</v>
      </c>
      <c r="L259" t="s">
        <v>20</v>
      </c>
      <c r="M259" s="3">
        <f t="shared" ref="M259:M322" si="9">IF(L259 = "Paid",J259,0)</f>
        <v>0</v>
      </c>
      <c r="N259" s="9" t="str" cm="1">
        <f t="array" ref="N259">_xlfn.IFS(C259&lt;18,"Under 18",C259&lt;36,"18-35",C259&lt;51,"36-50",C259&lt;66,"51-65",C259&gt;=66,"Above 65")</f>
        <v>Above 65</v>
      </c>
      <c r="O259" s="6"/>
    </row>
    <row r="260" spans="1:15" x14ac:dyDescent="0.35">
      <c r="A260" t="s">
        <v>547</v>
      </c>
      <c r="B260" t="s">
        <v>548</v>
      </c>
      <c r="C260">
        <v>60</v>
      </c>
      <c r="D260" t="s">
        <v>18</v>
      </c>
      <c r="E260" s="5">
        <v>45711</v>
      </c>
      <c r="F260" s="5">
        <v>45718</v>
      </c>
      <c r="G260">
        <f t="shared" si="8"/>
        <v>7</v>
      </c>
      <c r="H260" t="s">
        <v>13</v>
      </c>
      <c r="I260" t="s">
        <v>165</v>
      </c>
      <c r="J260" s="2">
        <v>12277.2</v>
      </c>
      <c r="K260" s="6">
        <v>1</v>
      </c>
      <c r="L260" t="s">
        <v>15</v>
      </c>
      <c r="M260" s="3">
        <f t="shared" si="9"/>
        <v>12277.2</v>
      </c>
      <c r="N260" s="9" t="str" cm="1">
        <f t="array" ref="N260">_xlfn.IFS(C260&lt;18,"Under 18",C260&lt;36,"18-35",C260&lt;51,"36-50",C260&lt;66,"51-65",C260&gt;=66,"Above 65")</f>
        <v>51-65</v>
      </c>
      <c r="O260" s="6"/>
    </row>
    <row r="261" spans="1:15" x14ac:dyDescent="0.35">
      <c r="A261" t="s">
        <v>549</v>
      </c>
      <c r="B261" t="s">
        <v>550</v>
      </c>
      <c r="C261">
        <v>82</v>
      </c>
      <c r="D261" t="s">
        <v>18</v>
      </c>
      <c r="E261" s="5">
        <v>45465</v>
      </c>
      <c r="F261" s="5">
        <v>45468</v>
      </c>
      <c r="G261">
        <f t="shared" si="8"/>
        <v>3</v>
      </c>
      <c r="H261" t="s">
        <v>23</v>
      </c>
      <c r="I261" t="s">
        <v>24</v>
      </c>
      <c r="J261" s="2">
        <v>7304.79</v>
      </c>
      <c r="K261" s="6">
        <v>0.9</v>
      </c>
      <c r="L261" t="s">
        <v>15</v>
      </c>
      <c r="M261" s="3">
        <f t="shared" si="9"/>
        <v>7304.79</v>
      </c>
      <c r="N261" s="9" t="str" cm="1">
        <f t="array" ref="N261">_xlfn.IFS(C261&lt;18,"Under 18",C261&lt;36,"18-35",C261&lt;51,"36-50",C261&lt;66,"51-65",C261&gt;=66,"Above 65")</f>
        <v>Above 65</v>
      </c>
      <c r="O261" s="6"/>
    </row>
    <row r="262" spans="1:15" x14ac:dyDescent="0.35">
      <c r="A262" t="s">
        <v>551</v>
      </c>
      <c r="B262" t="s">
        <v>127</v>
      </c>
      <c r="C262">
        <v>44</v>
      </c>
      <c r="D262" t="s">
        <v>18</v>
      </c>
      <c r="E262" s="5">
        <v>45682</v>
      </c>
      <c r="F262" s="5">
        <v>45685</v>
      </c>
      <c r="G262">
        <f t="shared" si="8"/>
        <v>3</v>
      </c>
      <c r="H262" t="s">
        <v>23</v>
      </c>
      <c r="I262" t="s">
        <v>41</v>
      </c>
      <c r="J262" s="2">
        <v>4042.99</v>
      </c>
      <c r="K262" s="6">
        <v>1</v>
      </c>
      <c r="L262" t="s">
        <v>25</v>
      </c>
      <c r="M262" s="3">
        <f t="shared" si="9"/>
        <v>0</v>
      </c>
      <c r="N262" s="9" t="str" cm="1">
        <f t="array" ref="N262">_xlfn.IFS(C262&lt;18,"Under 18",C262&lt;36,"18-35",C262&lt;51,"36-50",C262&lt;66,"51-65",C262&gt;=66,"Above 65")</f>
        <v>36-50</v>
      </c>
      <c r="O262" s="6"/>
    </row>
    <row r="263" spans="1:15" x14ac:dyDescent="0.35">
      <c r="A263" t="s">
        <v>552</v>
      </c>
      <c r="B263" t="s">
        <v>553</v>
      </c>
      <c r="C263">
        <v>25</v>
      </c>
      <c r="D263" t="s">
        <v>12</v>
      </c>
      <c r="E263" s="5">
        <v>45406</v>
      </c>
      <c r="F263" s="5">
        <v>45409</v>
      </c>
      <c r="G263">
        <f t="shared" si="8"/>
        <v>3</v>
      </c>
      <c r="H263" t="s">
        <v>31</v>
      </c>
      <c r="I263" t="s">
        <v>87</v>
      </c>
      <c r="J263" s="2">
        <v>2452.73</v>
      </c>
      <c r="K263" s="6">
        <v>0</v>
      </c>
      <c r="L263" t="s">
        <v>25</v>
      </c>
      <c r="M263" s="3">
        <f t="shared" si="9"/>
        <v>0</v>
      </c>
      <c r="N263" s="9" t="str" cm="1">
        <f t="array" ref="N263">_xlfn.IFS(C263&lt;18,"Under 18",C263&lt;36,"18-35",C263&lt;51,"36-50",C263&lt;66,"51-65",C263&gt;=66,"Above 65")</f>
        <v>18-35</v>
      </c>
      <c r="O263" s="6"/>
    </row>
    <row r="264" spans="1:15" x14ac:dyDescent="0.35">
      <c r="A264" t="s">
        <v>554</v>
      </c>
      <c r="B264" t="s">
        <v>555</v>
      </c>
      <c r="C264">
        <v>15</v>
      </c>
      <c r="D264" t="s">
        <v>18</v>
      </c>
      <c r="E264" s="5">
        <v>46010</v>
      </c>
      <c r="F264" s="5">
        <v>46012</v>
      </c>
      <c r="G264">
        <f t="shared" si="8"/>
        <v>2</v>
      </c>
      <c r="H264" t="s">
        <v>49</v>
      </c>
      <c r="I264" t="s">
        <v>130</v>
      </c>
      <c r="J264" s="2">
        <v>1535.75</v>
      </c>
      <c r="K264" s="6">
        <v>0.9</v>
      </c>
      <c r="L264" t="s">
        <v>15</v>
      </c>
      <c r="M264" s="3">
        <f t="shared" si="9"/>
        <v>1535.75</v>
      </c>
      <c r="N264" s="9" t="str" cm="1">
        <f t="array" ref="N264">_xlfn.IFS(C264&lt;18,"Under 18",C264&lt;36,"18-35",C264&lt;51,"36-50",C264&lt;66,"51-65",C264&gt;=66,"Above 65")</f>
        <v>Under 18</v>
      </c>
      <c r="O264" s="6"/>
    </row>
    <row r="265" spans="1:15" x14ac:dyDescent="0.35">
      <c r="A265" t="s">
        <v>556</v>
      </c>
      <c r="B265" t="s">
        <v>191</v>
      </c>
      <c r="C265">
        <v>39</v>
      </c>
      <c r="D265" t="s">
        <v>18</v>
      </c>
      <c r="E265" s="5">
        <v>45591</v>
      </c>
      <c r="F265" s="5">
        <v>45592</v>
      </c>
      <c r="G265">
        <f t="shared" si="8"/>
        <v>1</v>
      </c>
      <c r="H265" t="s">
        <v>31</v>
      </c>
      <c r="I265" t="s">
        <v>114</v>
      </c>
      <c r="J265" s="2">
        <v>600.19000000000005</v>
      </c>
      <c r="K265" s="6">
        <v>1</v>
      </c>
      <c r="L265" t="s">
        <v>15</v>
      </c>
      <c r="M265" s="3">
        <f t="shared" si="9"/>
        <v>600.19000000000005</v>
      </c>
      <c r="N265" s="9" t="str" cm="1">
        <f t="array" ref="N265">_xlfn.IFS(C265&lt;18,"Under 18",C265&lt;36,"18-35",C265&lt;51,"36-50",C265&lt;66,"51-65",C265&gt;=66,"Above 65")</f>
        <v>36-50</v>
      </c>
      <c r="O265" s="6"/>
    </row>
    <row r="266" spans="1:15" x14ac:dyDescent="0.35">
      <c r="A266" t="s">
        <v>557</v>
      </c>
      <c r="B266" t="s">
        <v>558</v>
      </c>
      <c r="C266">
        <v>73</v>
      </c>
      <c r="D266" t="s">
        <v>18</v>
      </c>
      <c r="E266" s="5">
        <v>45531</v>
      </c>
      <c r="F266" s="5">
        <v>45533</v>
      </c>
      <c r="G266">
        <f t="shared" si="8"/>
        <v>2</v>
      </c>
      <c r="H266" t="s">
        <v>23</v>
      </c>
      <c r="I266" t="s">
        <v>82</v>
      </c>
      <c r="J266" s="2">
        <v>2662.2</v>
      </c>
      <c r="K266" s="6">
        <v>1</v>
      </c>
      <c r="L266" t="s">
        <v>15</v>
      </c>
      <c r="M266" s="3">
        <f t="shared" si="9"/>
        <v>2662.2</v>
      </c>
      <c r="N266" s="9" t="str" cm="1">
        <f t="array" ref="N266">_xlfn.IFS(C266&lt;18,"Under 18",C266&lt;36,"18-35",C266&lt;51,"36-50",C266&lt;66,"51-65",C266&gt;=66,"Above 65")</f>
        <v>Above 65</v>
      </c>
      <c r="O266" s="6"/>
    </row>
    <row r="267" spans="1:15" x14ac:dyDescent="0.35">
      <c r="A267" t="s">
        <v>559</v>
      </c>
      <c r="B267" t="s">
        <v>560</v>
      </c>
      <c r="C267">
        <v>58</v>
      </c>
      <c r="D267" t="s">
        <v>12</v>
      </c>
      <c r="E267" s="5">
        <v>45770</v>
      </c>
      <c r="F267" s="5">
        <v>45773</v>
      </c>
      <c r="G267">
        <f t="shared" si="8"/>
        <v>3</v>
      </c>
      <c r="H267" t="s">
        <v>23</v>
      </c>
      <c r="I267" t="s">
        <v>24</v>
      </c>
      <c r="J267" s="2">
        <v>2947.4</v>
      </c>
      <c r="K267" s="6">
        <v>0.9</v>
      </c>
      <c r="L267" t="s">
        <v>15</v>
      </c>
      <c r="M267" s="3">
        <f t="shared" si="9"/>
        <v>2947.4</v>
      </c>
      <c r="N267" s="9" t="str" cm="1">
        <f t="array" ref="N267">_xlfn.IFS(C267&lt;18,"Under 18",C267&lt;36,"18-35",C267&lt;51,"36-50",C267&lt;66,"51-65",C267&gt;=66,"Above 65")</f>
        <v>51-65</v>
      </c>
      <c r="O267" s="6"/>
    </row>
    <row r="268" spans="1:15" x14ac:dyDescent="0.35">
      <c r="A268" t="s">
        <v>561</v>
      </c>
      <c r="B268" t="s">
        <v>562</v>
      </c>
      <c r="C268">
        <v>58</v>
      </c>
      <c r="D268" t="s">
        <v>12</v>
      </c>
      <c r="E268" s="5">
        <v>45815</v>
      </c>
      <c r="F268" s="5">
        <v>45818</v>
      </c>
      <c r="G268">
        <f t="shared" si="8"/>
        <v>3</v>
      </c>
      <c r="H268" t="s">
        <v>60</v>
      </c>
      <c r="I268" t="s">
        <v>133</v>
      </c>
      <c r="J268" s="2">
        <v>6487.43</v>
      </c>
      <c r="K268" s="6">
        <v>0.8</v>
      </c>
      <c r="L268" t="s">
        <v>15</v>
      </c>
      <c r="M268" s="3">
        <f t="shared" si="9"/>
        <v>6487.43</v>
      </c>
      <c r="N268" s="9" t="str" cm="1">
        <f t="array" ref="N268">_xlfn.IFS(C268&lt;18,"Under 18",C268&lt;36,"18-35",C268&lt;51,"36-50",C268&lt;66,"51-65",C268&gt;=66,"Above 65")</f>
        <v>51-65</v>
      </c>
      <c r="O268" s="6"/>
    </row>
    <row r="269" spans="1:15" x14ac:dyDescent="0.35">
      <c r="A269" t="s">
        <v>563</v>
      </c>
      <c r="B269" t="s">
        <v>564</v>
      </c>
      <c r="C269">
        <v>78</v>
      </c>
      <c r="D269" t="s">
        <v>18</v>
      </c>
      <c r="E269" s="5">
        <v>45863</v>
      </c>
      <c r="F269" s="5">
        <v>45867</v>
      </c>
      <c r="G269">
        <f t="shared" si="8"/>
        <v>4</v>
      </c>
      <c r="H269" t="s">
        <v>13</v>
      </c>
      <c r="I269" t="s">
        <v>165</v>
      </c>
      <c r="J269" s="2">
        <v>5274.8</v>
      </c>
      <c r="K269" s="6">
        <v>0.8</v>
      </c>
      <c r="L269" t="s">
        <v>15</v>
      </c>
      <c r="M269" s="3">
        <f t="shared" si="9"/>
        <v>5274.8</v>
      </c>
      <c r="N269" s="9" t="str" cm="1">
        <f t="array" ref="N269">_xlfn.IFS(C269&lt;18,"Under 18",C269&lt;36,"18-35",C269&lt;51,"36-50",C269&lt;66,"51-65",C269&gt;=66,"Above 65")</f>
        <v>Above 65</v>
      </c>
      <c r="O269" s="6"/>
    </row>
    <row r="270" spans="1:15" x14ac:dyDescent="0.35">
      <c r="A270" t="s">
        <v>565</v>
      </c>
      <c r="B270" t="s">
        <v>566</v>
      </c>
      <c r="C270">
        <v>56</v>
      </c>
      <c r="D270" t="s">
        <v>12</v>
      </c>
      <c r="E270" s="5">
        <v>45919</v>
      </c>
      <c r="F270" s="5">
        <v>45925</v>
      </c>
      <c r="G270">
        <f t="shared" si="8"/>
        <v>6</v>
      </c>
      <c r="H270" t="s">
        <v>13</v>
      </c>
      <c r="I270" t="s">
        <v>14</v>
      </c>
      <c r="J270" s="2">
        <v>17770.45</v>
      </c>
      <c r="K270" s="6">
        <v>1</v>
      </c>
      <c r="L270" t="s">
        <v>15</v>
      </c>
      <c r="M270" s="3">
        <f t="shared" si="9"/>
        <v>17770.45</v>
      </c>
      <c r="N270" s="9" t="str" cm="1">
        <f t="array" ref="N270">_xlfn.IFS(C270&lt;18,"Under 18",C270&lt;36,"18-35",C270&lt;51,"36-50",C270&lt;66,"51-65",C270&gt;=66,"Above 65")</f>
        <v>51-65</v>
      </c>
      <c r="O270" s="6"/>
    </row>
    <row r="271" spans="1:15" x14ac:dyDescent="0.35">
      <c r="A271" t="s">
        <v>567</v>
      </c>
      <c r="B271" t="s">
        <v>568</v>
      </c>
      <c r="C271">
        <v>50</v>
      </c>
      <c r="D271" t="s">
        <v>18</v>
      </c>
      <c r="E271" s="5">
        <v>45989</v>
      </c>
      <c r="F271" s="5">
        <v>46003</v>
      </c>
      <c r="G271">
        <f t="shared" si="8"/>
        <v>14</v>
      </c>
      <c r="H271" t="s">
        <v>60</v>
      </c>
      <c r="I271" t="s">
        <v>133</v>
      </c>
      <c r="J271" s="2">
        <v>38493.53</v>
      </c>
      <c r="K271" s="6">
        <v>0</v>
      </c>
      <c r="L271" t="s">
        <v>15</v>
      </c>
      <c r="M271" s="3">
        <f t="shared" si="9"/>
        <v>38493.53</v>
      </c>
      <c r="N271" s="9" t="str" cm="1">
        <f t="array" ref="N271">_xlfn.IFS(C271&lt;18,"Under 18",C271&lt;36,"18-35",C271&lt;51,"36-50",C271&lt;66,"51-65",C271&gt;=66,"Above 65")</f>
        <v>36-50</v>
      </c>
      <c r="O271" s="6"/>
    </row>
    <row r="272" spans="1:15" x14ac:dyDescent="0.35">
      <c r="A272" t="s">
        <v>569</v>
      </c>
      <c r="B272" t="s">
        <v>570</v>
      </c>
      <c r="C272">
        <v>71</v>
      </c>
      <c r="D272" t="s">
        <v>18</v>
      </c>
      <c r="E272" s="5">
        <v>45366</v>
      </c>
      <c r="F272" s="5">
        <v>45369</v>
      </c>
      <c r="G272">
        <f t="shared" si="8"/>
        <v>3</v>
      </c>
      <c r="H272" t="s">
        <v>31</v>
      </c>
      <c r="I272" t="s">
        <v>32</v>
      </c>
      <c r="J272" s="2">
        <v>3136.05</v>
      </c>
      <c r="K272" s="6">
        <v>0.9</v>
      </c>
      <c r="L272" t="s">
        <v>15</v>
      </c>
      <c r="M272" s="3">
        <f t="shared" si="9"/>
        <v>3136.05</v>
      </c>
      <c r="N272" s="9" t="str" cm="1">
        <f t="array" ref="N272">_xlfn.IFS(C272&lt;18,"Under 18",C272&lt;36,"18-35",C272&lt;51,"36-50",C272&lt;66,"51-65",C272&gt;=66,"Above 65")</f>
        <v>Above 65</v>
      </c>
      <c r="O272" s="6"/>
    </row>
    <row r="273" spans="1:15" x14ac:dyDescent="0.35">
      <c r="A273" t="s">
        <v>571</v>
      </c>
      <c r="B273" t="s">
        <v>101</v>
      </c>
      <c r="C273">
        <v>41</v>
      </c>
      <c r="D273" t="s">
        <v>18</v>
      </c>
      <c r="E273" s="5">
        <v>45999</v>
      </c>
      <c r="F273" s="5">
        <v>46009</v>
      </c>
      <c r="G273">
        <f t="shared" si="8"/>
        <v>10</v>
      </c>
      <c r="H273" t="s">
        <v>13</v>
      </c>
      <c r="I273" t="s">
        <v>102</v>
      </c>
      <c r="J273" s="2">
        <v>28492.22</v>
      </c>
      <c r="K273" s="6">
        <v>0.9</v>
      </c>
      <c r="L273" t="s">
        <v>15</v>
      </c>
      <c r="M273" s="3">
        <f t="shared" si="9"/>
        <v>28492.22</v>
      </c>
      <c r="N273" s="9" t="str" cm="1">
        <f t="array" ref="N273">_xlfn.IFS(C273&lt;18,"Under 18",C273&lt;36,"18-35",C273&lt;51,"36-50",C273&lt;66,"51-65",C273&gt;=66,"Above 65")</f>
        <v>36-50</v>
      </c>
      <c r="O273" s="6"/>
    </row>
    <row r="274" spans="1:15" x14ac:dyDescent="0.35">
      <c r="A274" t="s">
        <v>572</v>
      </c>
      <c r="B274" t="s">
        <v>573</v>
      </c>
      <c r="C274">
        <v>47</v>
      </c>
      <c r="D274" t="s">
        <v>12</v>
      </c>
      <c r="E274" s="5">
        <v>45705</v>
      </c>
      <c r="F274" s="5">
        <v>45713</v>
      </c>
      <c r="G274">
        <f t="shared" si="8"/>
        <v>8</v>
      </c>
      <c r="H274" t="s">
        <v>13</v>
      </c>
      <c r="I274" t="s">
        <v>111</v>
      </c>
      <c r="J274" s="2">
        <v>11794.68</v>
      </c>
      <c r="K274" s="6">
        <v>0.7</v>
      </c>
      <c r="L274" t="s">
        <v>25</v>
      </c>
      <c r="M274" s="3">
        <f t="shared" si="9"/>
        <v>0</v>
      </c>
      <c r="N274" s="9" t="str" cm="1">
        <f t="array" ref="N274">_xlfn.IFS(C274&lt;18,"Under 18",C274&lt;36,"18-35",C274&lt;51,"36-50",C274&lt;66,"51-65",C274&gt;=66,"Above 65")</f>
        <v>36-50</v>
      </c>
      <c r="O274" s="6"/>
    </row>
    <row r="275" spans="1:15" x14ac:dyDescent="0.35">
      <c r="A275" t="s">
        <v>574</v>
      </c>
      <c r="B275" t="s">
        <v>198</v>
      </c>
      <c r="C275">
        <v>16</v>
      </c>
      <c r="D275" t="s">
        <v>18</v>
      </c>
      <c r="E275" s="5">
        <v>45634</v>
      </c>
      <c r="F275" s="5">
        <v>45638</v>
      </c>
      <c r="G275">
        <f t="shared" si="8"/>
        <v>4</v>
      </c>
      <c r="H275" t="s">
        <v>49</v>
      </c>
      <c r="I275" t="s">
        <v>123</v>
      </c>
      <c r="J275" s="2">
        <v>5980.76</v>
      </c>
      <c r="K275" s="6">
        <v>0.8</v>
      </c>
      <c r="L275" t="s">
        <v>15</v>
      </c>
      <c r="M275" s="3">
        <f t="shared" si="9"/>
        <v>5980.76</v>
      </c>
      <c r="N275" s="9" t="str" cm="1">
        <f t="array" ref="N275">_xlfn.IFS(C275&lt;18,"Under 18",C275&lt;36,"18-35",C275&lt;51,"36-50",C275&lt;66,"51-65",C275&gt;=66,"Above 65")</f>
        <v>Under 18</v>
      </c>
      <c r="O275" s="6"/>
    </row>
    <row r="276" spans="1:15" x14ac:dyDescent="0.35">
      <c r="A276" t="s">
        <v>575</v>
      </c>
      <c r="B276" t="s">
        <v>22</v>
      </c>
      <c r="C276">
        <v>56</v>
      </c>
      <c r="D276" t="s">
        <v>18</v>
      </c>
      <c r="E276" s="5">
        <v>45912</v>
      </c>
      <c r="F276" s="5">
        <v>45923</v>
      </c>
      <c r="G276">
        <f t="shared" si="8"/>
        <v>11</v>
      </c>
      <c r="H276" t="s">
        <v>70</v>
      </c>
      <c r="I276" t="s">
        <v>295</v>
      </c>
      <c r="J276" s="2">
        <v>16835.150000000001</v>
      </c>
      <c r="K276" s="6">
        <v>1</v>
      </c>
      <c r="L276" t="s">
        <v>15</v>
      </c>
      <c r="M276" s="3">
        <f t="shared" si="9"/>
        <v>16835.150000000001</v>
      </c>
      <c r="N276" s="9" t="str" cm="1">
        <f t="array" ref="N276">_xlfn.IFS(C276&lt;18,"Under 18",C276&lt;36,"18-35",C276&lt;51,"36-50",C276&lt;66,"51-65",C276&gt;=66,"Above 65")</f>
        <v>51-65</v>
      </c>
      <c r="O276" s="6"/>
    </row>
    <row r="277" spans="1:15" x14ac:dyDescent="0.35">
      <c r="A277" t="s">
        <v>576</v>
      </c>
      <c r="B277" t="s">
        <v>577</v>
      </c>
      <c r="C277">
        <v>69</v>
      </c>
      <c r="D277" t="s">
        <v>18</v>
      </c>
      <c r="E277" s="5">
        <v>45933</v>
      </c>
      <c r="F277" s="5">
        <v>45937</v>
      </c>
      <c r="G277">
        <f t="shared" si="8"/>
        <v>4</v>
      </c>
      <c r="H277" t="s">
        <v>31</v>
      </c>
      <c r="I277" t="s">
        <v>114</v>
      </c>
      <c r="J277" s="2">
        <v>2837.18</v>
      </c>
      <c r="K277" s="6">
        <v>1</v>
      </c>
      <c r="L277" t="s">
        <v>25</v>
      </c>
      <c r="M277" s="3">
        <f t="shared" si="9"/>
        <v>0</v>
      </c>
      <c r="N277" s="9" t="str" cm="1">
        <f t="array" ref="N277">_xlfn.IFS(C277&lt;18,"Under 18",C277&lt;36,"18-35",C277&lt;51,"36-50",C277&lt;66,"51-65",C277&gt;=66,"Above 65")</f>
        <v>Above 65</v>
      </c>
      <c r="O277" s="6"/>
    </row>
    <row r="278" spans="1:15" x14ac:dyDescent="0.35">
      <c r="A278" t="s">
        <v>578</v>
      </c>
      <c r="B278" t="s">
        <v>579</v>
      </c>
      <c r="C278">
        <v>39</v>
      </c>
      <c r="D278" t="s">
        <v>18</v>
      </c>
      <c r="E278" s="5">
        <v>45778</v>
      </c>
      <c r="F278" s="5">
        <v>45785</v>
      </c>
      <c r="G278">
        <f t="shared" si="8"/>
        <v>7</v>
      </c>
      <c r="H278" t="s">
        <v>31</v>
      </c>
      <c r="I278" t="s">
        <v>35</v>
      </c>
      <c r="J278" s="2">
        <v>5652.05</v>
      </c>
      <c r="K278" s="6">
        <v>0</v>
      </c>
      <c r="L278" t="s">
        <v>20</v>
      </c>
      <c r="M278" s="3">
        <f t="shared" si="9"/>
        <v>0</v>
      </c>
      <c r="N278" s="9" t="str" cm="1">
        <f t="array" ref="N278">_xlfn.IFS(C278&lt;18,"Under 18",C278&lt;36,"18-35",C278&lt;51,"36-50",C278&lt;66,"51-65",C278&gt;=66,"Above 65")</f>
        <v>36-50</v>
      </c>
      <c r="O278" s="6"/>
    </row>
    <row r="279" spans="1:15" x14ac:dyDescent="0.35">
      <c r="A279" t="s">
        <v>580</v>
      </c>
      <c r="B279" t="s">
        <v>581</v>
      </c>
      <c r="C279">
        <v>51</v>
      </c>
      <c r="D279" t="s">
        <v>18</v>
      </c>
      <c r="E279" s="5">
        <v>45348</v>
      </c>
      <c r="F279" s="5">
        <v>45356</v>
      </c>
      <c r="G279">
        <f t="shared" si="8"/>
        <v>8</v>
      </c>
      <c r="H279" t="s">
        <v>13</v>
      </c>
      <c r="I279" t="s">
        <v>14</v>
      </c>
      <c r="J279" s="2">
        <v>15284.52</v>
      </c>
      <c r="K279" s="6">
        <v>0.9</v>
      </c>
      <c r="L279" t="s">
        <v>15</v>
      </c>
      <c r="M279" s="3">
        <f t="shared" si="9"/>
        <v>15284.52</v>
      </c>
      <c r="N279" s="9" t="str" cm="1">
        <f t="array" ref="N279">_xlfn.IFS(C279&lt;18,"Under 18",C279&lt;36,"18-35",C279&lt;51,"36-50",C279&lt;66,"51-65",C279&gt;=66,"Above 65")</f>
        <v>51-65</v>
      </c>
      <c r="O279" s="6"/>
    </row>
    <row r="280" spans="1:15" x14ac:dyDescent="0.35">
      <c r="A280" t="s">
        <v>582</v>
      </c>
      <c r="B280" t="s">
        <v>583</v>
      </c>
      <c r="C280">
        <v>22</v>
      </c>
      <c r="D280" t="s">
        <v>12</v>
      </c>
      <c r="E280" s="5">
        <v>45465</v>
      </c>
      <c r="F280" s="5">
        <v>45470</v>
      </c>
      <c r="G280">
        <f t="shared" si="8"/>
        <v>5</v>
      </c>
      <c r="H280" t="s">
        <v>31</v>
      </c>
      <c r="I280" t="s">
        <v>44</v>
      </c>
      <c r="J280" s="2">
        <v>6837.91</v>
      </c>
      <c r="K280" s="6">
        <v>0.8</v>
      </c>
      <c r="L280" t="s">
        <v>20</v>
      </c>
      <c r="M280" s="3">
        <f t="shared" si="9"/>
        <v>0</v>
      </c>
      <c r="N280" s="9" t="str" cm="1">
        <f t="array" ref="N280">_xlfn.IFS(C280&lt;18,"Under 18",C280&lt;36,"18-35",C280&lt;51,"36-50",C280&lt;66,"51-65",C280&gt;=66,"Above 65")</f>
        <v>18-35</v>
      </c>
      <c r="O280" s="6"/>
    </row>
    <row r="281" spans="1:15" x14ac:dyDescent="0.35">
      <c r="A281" t="s">
        <v>584</v>
      </c>
      <c r="B281" t="s">
        <v>585</v>
      </c>
      <c r="C281">
        <v>27</v>
      </c>
      <c r="D281" t="s">
        <v>18</v>
      </c>
      <c r="E281" s="5">
        <v>45853</v>
      </c>
      <c r="F281" s="5">
        <v>45863</v>
      </c>
      <c r="G281">
        <f t="shared" si="8"/>
        <v>10</v>
      </c>
      <c r="H281" t="s">
        <v>60</v>
      </c>
      <c r="I281" t="s">
        <v>74</v>
      </c>
      <c r="J281" s="2">
        <v>16726.009999999998</v>
      </c>
      <c r="K281" s="6">
        <v>0.8</v>
      </c>
      <c r="L281" t="s">
        <v>15</v>
      </c>
      <c r="M281" s="3">
        <f t="shared" si="9"/>
        <v>16726.009999999998</v>
      </c>
      <c r="N281" s="9" t="str" cm="1">
        <f t="array" ref="N281">_xlfn.IFS(C281&lt;18,"Under 18",C281&lt;36,"18-35",C281&lt;51,"36-50",C281&lt;66,"51-65",C281&gt;=66,"Above 65")</f>
        <v>18-35</v>
      </c>
      <c r="O281" s="6"/>
    </row>
    <row r="282" spans="1:15" x14ac:dyDescent="0.35">
      <c r="A282" t="s">
        <v>586</v>
      </c>
      <c r="B282" t="s">
        <v>587</v>
      </c>
      <c r="C282">
        <v>85</v>
      </c>
      <c r="D282" t="s">
        <v>18</v>
      </c>
      <c r="E282" s="5">
        <v>45547</v>
      </c>
      <c r="F282" s="5">
        <v>45553</v>
      </c>
      <c r="G282">
        <f t="shared" si="8"/>
        <v>6</v>
      </c>
      <c r="H282" t="s">
        <v>13</v>
      </c>
      <c r="I282" t="s">
        <v>111</v>
      </c>
      <c r="J282" s="2">
        <v>17937.11</v>
      </c>
      <c r="K282" s="6">
        <v>0.7</v>
      </c>
      <c r="L282" t="s">
        <v>25</v>
      </c>
      <c r="M282" s="3">
        <f t="shared" si="9"/>
        <v>0</v>
      </c>
      <c r="N282" s="9" t="str" cm="1">
        <f t="array" ref="N282">_xlfn.IFS(C282&lt;18,"Under 18",C282&lt;36,"18-35",C282&lt;51,"36-50",C282&lt;66,"51-65",C282&gt;=66,"Above 65")</f>
        <v>Above 65</v>
      </c>
      <c r="O282" s="6"/>
    </row>
    <row r="283" spans="1:15" x14ac:dyDescent="0.35">
      <c r="A283" t="s">
        <v>588</v>
      </c>
      <c r="B283" t="s">
        <v>589</v>
      </c>
      <c r="C283">
        <v>33</v>
      </c>
      <c r="D283" t="s">
        <v>12</v>
      </c>
      <c r="E283" s="5">
        <v>45601</v>
      </c>
      <c r="F283" s="5">
        <v>45615</v>
      </c>
      <c r="G283">
        <f t="shared" si="8"/>
        <v>14</v>
      </c>
      <c r="H283" t="s">
        <v>60</v>
      </c>
      <c r="I283" t="s">
        <v>142</v>
      </c>
      <c r="J283" s="2">
        <v>27571.59</v>
      </c>
      <c r="K283" s="6">
        <v>0.9</v>
      </c>
      <c r="L283" t="s">
        <v>15</v>
      </c>
      <c r="M283" s="3">
        <f t="shared" si="9"/>
        <v>27571.59</v>
      </c>
      <c r="N283" s="9" t="str" cm="1">
        <f t="array" ref="N283">_xlfn.IFS(C283&lt;18,"Under 18",C283&lt;36,"18-35",C283&lt;51,"36-50",C283&lt;66,"51-65",C283&gt;=66,"Above 65")</f>
        <v>18-35</v>
      </c>
      <c r="O283" s="6"/>
    </row>
    <row r="284" spans="1:15" x14ac:dyDescent="0.35">
      <c r="A284" t="s">
        <v>590</v>
      </c>
      <c r="B284" t="s">
        <v>101</v>
      </c>
      <c r="C284">
        <v>83</v>
      </c>
      <c r="D284" t="s">
        <v>18</v>
      </c>
      <c r="E284" s="5">
        <v>45589</v>
      </c>
      <c r="F284" s="5">
        <v>45595</v>
      </c>
      <c r="G284">
        <f t="shared" si="8"/>
        <v>6</v>
      </c>
      <c r="H284" t="s">
        <v>13</v>
      </c>
      <c r="I284" t="s">
        <v>111</v>
      </c>
      <c r="J284" s="2">
        <v>13621.44</v>
      </c>
      <c r="K284" s="6">
        <v>0.7</v>
      </c>
      <c r="L284" t="s">
        <v>25</v>
      </c>
      <c r="M284" s="3">
        <f t="shared" si="9"/>
        <v>0</v>
      </c>
      <c r="N284" s="9" t="str" cm="1">
        <f t="array" ref="N284">_xlfn.IFS(C284&lt;18,"Under 18",C284&lt;36,"18-35",C284&lt;51,"36-50",C284&lt;66,"51-65",C284&gt;=66,"Above 65")</f>
        <v>Above 65</v>
      </c>
      <c r="O284" s="6"/>
    </row>
    <row r="285" spans="1:15" x14ac:dyDescent="0.35">
      <c r="A285" t="s">
        <v>591</v>
      </c>
      <c r="B285" t="s">
        <v>592</v>
      </c>
      <c r="C285">
        <v>54</v>
      </c>
      <c r="D285" t="s">
        <v>12</v>
      </c>
      <c r="E285" s="5">
        <v>45579</v>
      </c>
      <c r="F285" s="5">
        <v>45584</v>
      </c>
      <c r="G285">
        <f t="shared" si="8"/>
        <v>5</v>
      </c>
      <c r="H285" t="s">
        <v>70</v>
      </c>
      <c r="I285" t="s">
        <v>295</v>
      </c>
      <c r="J285" s="2">
        <v>7553.52</v>
      </c>
      <c r="K285" s="6">
        <v>0.5</v>
      </c>
      <c r="L285" t="s">
        <v>15</v>
      </c>
      <c r="M285" s="3">
        <f t="shared" si="9"/>
        <v>7553.52</v>
      </c>
      <c r="N285" s="9" t="str" cm="1">
        <f t="array" ref="N285">_xlfn.IFS(C285&lt;18,"Under 18",C285&lt;36,"18-35",C285&lt;51,"36-50",C285&lt;66,"51-65",C285&gt;=66,"Above 65")</f>
        <v>51-65</v>
      </c>
      <c r="O285" s="6"/>
    </row>
    <row r="286" spans="1:15" x14ac:dyDescent="0.35">
      <c r="A286" t="s">
        <v>593</v>
      </c>
      <c r="B286" t="s">
        <v>594</v>
      </c>
      <c r="C286">
        <v>53</v>
      </c>
      <c r="D286" t="s">
        <v>18</v>
      </c>
      <c r="E286" s="5">
        <v>45612</v>
      </c>
      <c r="F286" s="5">
        <v>45625</v>
      </c>
      <c r="G286">
        <f t="shared" si="8"/>
        <v>13</v>
      </c>
      <c r="H286" t="s">
        <v>60</v>
      </c>
      <c r="I286" t="s">
        <v>133</v>
      </c>
      <c r="J286" s="2">
        <v>34671.78</v>
      </c>
      <c r="K286" s="6">
        <v>0.6</v>
      </c>
      <c r="L286" t="s">
        <v>15</v>
      </c>
      <c r="M286" s="3">
        <f t="shared" si="9"/>
        <v>34671.78</v>
      </c>
      <c r="N286" s="9" t="str" cm="1">
        <f t="array" ref="N286">_xlfn.IFS(C286&lt;18,"Under 18",C286&lt;36,"18-35",C286&lt;51,"36-50",C286&lt;66,"51-65",C286&gt;=66,"Above 65")</f>
        <v>51-65</v>
      </c>
      <c r="O286" s="6"/>
    </row>
    <row r="287" spans="1:15" x14ac:dyDescent="0.35">
      <c r="A287" t="s">
        <v>595</v>
      </c>
      <c r="B287" t="s">
        <v>596</v>
      </c>
      <c r="C287">
        <v>81</v>
      </c>
      <c r="D287" t="s">
        <v>12</v>
      </c>
      <c r="E287" s="5">
        <v>45868</v>
      </c>
      <c r="F287" s="5">
        <v>45873</v>
      </c>
      <c r="G287">
        <f t="shared" si="8"/>
        <v>5</v>
      </c>
      <c r="H287" t="s">
        <v>13</v>
      </c>
      <c r="I287" t="s">
        <v>111</v>
      </c>
      <c r="J287" s="2">
        <v>13674.29</v>
      </c>
      <c r="K287" s="6">
        <v>0.8</v>
      </c>
      <c r="L287" t="s">
        <v>15</v>
      </c>
      <c r="M287" s="3">
        <f t="shared" si="9"/>
        <v>13674.29</v>
      </c>
      <c r="N287" s="9" t="str" cm="1">
        <f t="array" ref="N287">_xlfn.IFS(C287&lt;18,"Under 18",C287&lt;36,"18-35",C287&lt;51,"36-50",C287&lt;66,"51-65",C287&gt;=66,"Above 65")</f>
        <v>Above 65</v>
      </c>
      <c r="O287" s="6"/>
    </row>
    <row r="288" spans="1:15" x14ac:dyDescent="0.35">
      <c r="A288" t="s">
        <v>597</v>
      </c>
      <c r="B288" t="s">
        <v>598</v>
      </c>
      <c r="C288">
        <v>31</v>
      </c>
      <c r="D288" t="s">
        <v>18</v>
      </c>
      <c r="E288" s="5">
        <v>45706</v>
      </c>
      <c r="F288" s="5">
        <v>45716</v>
      </c>
      <c r="G288">
        <f t="shared" si="8"/>
        <v>10</v>
      </c>
      <c r="H288" t="s">
        <v>70</v>
      </c>
      <c r="I288" t="s">
        <v>157</v>
      </c>
      <c r="J288" s="2">
        <v>18872.25</v>
      </c>
      <c r="K288" s="6">
        <v>1</v>
      </c>
      <c r="L288" t="s">
        <v>15</v>
      </c>
      <c r="M288" s="3">
        <f t="shared" si="9"/>
        <v>18872.25</v>
      </c>
      <c r="N288" s="9" t="str" cm="1">
        <f t="array" ref="N288">_xlfn.IFS(C288&lt;18,"Under 18",C288&lt;36,"18-35",C288&lt;51,"36-50",C288&lt;66,"51-65",C288&gt;=66,"Above 65")</f>
        <v>18-35</v>
      </c>
      <c r="O288" s="6"/>
    </row>
    <row r="289" spans="1:15" x14ac:dyDescent="0.35">
      <c r="A289" t="s">
        <v>599</v>
      </c>
      <c r="B289" t="s">
        <v>600</v>
      </c>
      <c r="C289">
        <v>22</v>
      </c>
      <c r="D289" t="s">
        <v>12</v>
      </c>
      <c r="E289" s="5">
        <v>45648</v>
      </c>
      <c r="F289" s="5">
        <v>45654</v>
      </c>
      <c r="G289">
        <f t="shared" si="8"/>
        <v>6</v>
      </c>
      <c r="H289" t="s">
        <v>31</v>
      </c>
      <c r="I289" t="s">
        <v>44</v>
      </c>
      <c r="J289" s="2">
        <v>8363.1</v>
      </c>
      <c r="K289" s="6">
        <v>0.6</v>
      </c>
      <c r="L289" t="s">
        <v>25</v>
      </c>
      <c r="M289" s="3">
        <f t="shared" si="9"/>
        <v>0</v>
      </c>
      <c r="N289" s="9" t="str" cm="1">
        <f t="array" ref="N289">_xlfn.IFS(C289&lt;18,"Under 18",C289&lt;36,"18-35",C289&lt;51,"36-50",C289&lt;66,"51-65",C289&gt;=66,"Above 65")</f>
        <v>18-35</v>
      </c>
      <c r="O289" s="6"/>
    </row>
    <row r="290" spans="1:15" x14ac:dyDescent="0.35">
      <c r="A290" t="s">
        <v>601</v>
      </c>
      <c r="B290" t="s">
        <v>602</v>
      </c>
      <c r="C290">
        <v>1</v>
      </c>
      <c r="D290" t="s">
        <v>12</v>
      </c>
      <c r="E290" s="5">
        <v>45990</v>
      </c>
      <c r="F290" s="5">
        <v>45993</v>
      </c>
      <c r="G290">
        <f t="shared" si="8"/>
        <v>3</v>
      </c>
      <c r="H290" t="s">
        <v>49</v>
      </c>
      <c r="I290" t="s">
        <v>120</v>
      </c>
      <c r="J290" s="2">
        <v>3886.44</v>
      </c>
      <c r="K290" s="6">
        <v>0.9</v>
      </c>
      <c r="L290" t="s">
        <v>15</v>
      </c>
      <c r="M290" s="3">
        <f t="shared" si="9"/>
        <v>3886.44</v>
      </c>
      <c r="N290" s="9" t="str" cm="1">
        <f t="array" ref="N290">_xlfn.IFS(C290&lt;18,"Under 18",C290&lt;36,"18-35",C290&lt;51,"36-50",C290&lt;66,"51-65",C290&gt;=66,"Above 65")</f>
        <v>Under 18</v>
      </c>
      <c r="O290" s="6"/>
    </row>
    <row r="291" spans="1:15" x14ac:dyDescent="0.35">
      <c r="A291" t="s">
        <v>603</v>
      </c>
      <c r="B291" t="s">
        <v>604</v>
      </c>
      <c r="C291">
        <v>52</v>
      </c>
      <c r="D291" t="s">
        <v>12</v>
      </c>
      <c r="E291" s="5">
        <v>45929</v>
      </c>
      <c r="F291" s="5">
        <v>45931</v>
      </c>
      <c r="G291">
        <f t="shared" si="8"/>
        <v>2</v>
      </c>
      <c r="H291" t="s">
        <v>31</v>
      </c>
      <c r="I291" t="s">
        <v>87</v>
      </c>
      <c r="J291" s="2">
        <v>2780.94</v>
      </c>
      <c r="K291" s="6">
        <v>0.8</v>
      </c>
      <c r="L291" t="s">
        <v>15</v>
      </c>
      <c r="M291" s="3">
        <f t="shared" si="9"/>
        <v>2780.94</v>
      </c>
      <c r="N291" s="9" t="str" cm="1">
        <f t="array" ref="N291">_xlfn.IFS(C291&lt;18,"Under 18",C291&lt;36,"18-35",C291&lt;51,"36-50",C291&lt;66,"51-65",C291&gt;=66,"Above 65")</f>
        <v>51-65</v>
      </c>
      <c r="O291" s="6"/>
    </row>
    <row r="292" spans="1:15" x14ac:dyDescent="0.35">
      <c r="A292" t="s">
        <v>605</v>
      </c>
      <c r="B292" t="s">
        <v>606</v>
      </c>
      <c r="C292">
        <v>11</v>
      </c>
      <c r="D292" t="s">
        <v>12</v>
      </c>
      <c r="E292" s="5">
        <v>45399</v>
      </c>
      <c r="F292" s="5">
        <v>45400</v>
      </c>
      <c r="G292">
        <f t="shared" si="8"/>
        <v>1</v>
      </c>
      <c r="H292" t="s">
        <v>49</v>
      </c>
      <c r="I292" t="s">
        <v>50</v>
      </c>
      <c r="J292" s="2">
        <v>1277.56</v>
      </c>
      <c r="K292" s="6">
        <v>0.7</v>
      </c>
      <c r="L292" t="s">
        <v>20</v>
      </c>
      <c r="M292" s="3">
        <f t="shared" si="9"/>
        <v>0</v>
      </c>
      <c r="N292" s="9" t="str" cm="1">
        <f t="array" ref="N292">_xlfn.IFS(C292&lt;18,"Under 18",C292&lt;36,"18-35",C292&lt;51,"36-50",C292&lt;66,"51-65",C292&gt;=66,"Above 65")</f>
        <v>Under 18</v>
      </c>
      <c r="O292" s="6"/>
    </row>
    <row r="293" spans="1:15" x14ac:dyDescent="0.35">
      <c r="A293" t="s">
        <v>607</v>
      </c>
      <c r="B293" t="s">
        <v>608</v>
      </c>
      <c r="C293">
        <v>6</v>
      </c>
      <c r="D293" t="s">
        <v>18</v>
      </c>
      <c r="E293" s="5">
        <v>45343</v>
      </c>
      <c r="F293" s="5">
        <v>45346</v>
      </c>
      <c r="G293">
        <f t="shared" si="8"/>
        <v>3</v>
      </c>
      <c r="H293" t="s">
        <v>49</v>
      </c>
      <c r="I293" t="s">
        <v>130</v>
      </c>
      <c r="J293" s="2">
        <v>2921.29</v>
      </c>
      <c r="K293" s="6">
        <v>0.5</v>
      </c>
      <c r="L293" t="s">
        <v>25</v>
      </c>
      <c r="M293" s="3">
        <f t="shared" si="9"/>
        <v>0</v>
      </c>
      <c r="N293" s="9" t="str" cm="1">
        <f t="array" ref="N293">_xlfn.IFS(C293&lt;18,"Under 18",C293&lt;36,"18-35",C293&lt;51,"36-50",C293&lt;66,"51-65",C293&gt;=66,"Above 65")</f>
        <v>Under 18</v>
      </c>
      <c r="O293" s="6"/>
    </row>
    <row r="294" spans="1:15" x14ac:dyDescent="0.35">
      <c r="A294" t="s">
        <v>609</v>
      </c>
      <c r="B294" t="s">
        <v>610</v>
      </c>
      <c r="C294">
        <v>74</v>
      </c>
      <c r="D294" t="s">
        <v>18</v>
      </c>
      <c r="E294" s="5">
        <v>45486</v>
      </c>
      <c r="F294" s="5">
        <v>45489</v>
      </c>
      <c r="G294">
        <f t="shared" si="8"/>
        <v>3</v>
      </c>
      <c r="H294" t="s">
        <v>23</v>
      </c>
      <c r="I294" t="s">
        <v>28</v>
      </c>
      <c r="J294" s="2">
        <v>4516.54</v>
      </c>
      <c r="K294" s="6">
        <v>0.7</v>
      </c>
      <c r="L294" t="s">
        <v>20</v>
      </c>
      <c r="M294" s="3">
        <f t="shared" si="9"/>
        <v>0</v>
      </c>
      <c r="N294" s="9" t="str" cm="1">
        <f t="array" ref="N294">_xlfn.IFS(C294&lt;18,"Under 18",C294&lt;36,"18-35",C294&lt;51,"36-50",C294&lt;66,"51-65",C294&gt;=66,"Above 65")</f>
        <v>Above 65</v>
      </c>
      <c r="O294" s="6"/>
    </row>
    <row r="295" spans="1:15" x14ac:dyDescent="0.35">
      <c r="A295" t="s">
        <v>611</v>
      </c>
      <c r="B295" t="s">
        <v>612</v>
      </c>
      <c r="C295">
        <v>37</v>
      </c>
      <c r="D295" t="s">
        <v>18</v>
      </c>
      <c r="E295" s="5">
        <v>45372</v>
      </c>
      <c r="F295" s="5">
        <v>45385</v>
      </c>
      <c r="G295">
        <f t="shared" si="8"/>
        <v>13</v>
      </c>
      <c r="H295" t="s">
        <v>60</v>
      </c>
      <c r="I295" t="s">
        <v>133</v>
      </c>
      <c r="J295" s="2">
        <v>15943.22</v>
      </c>
      <c r="K295" s="6">
        <v>0.8</v>
      </c>
      <c r="L295" t="s">
        <v>15</v>
      </c>
      <c r="M295" s="3">
        <f t="shared" si="9"/>
        <v>15943.22</v>
      </c>
      <c r="N295" s="9" t="str" cm="1">
        <f t="array" ref="N295">_xlfn.IFS(C295&lt;18,"Under 18",C295&lt;36,"18-35",C295&lt;51,"36-50",C295&lt;66,"51-65",C295&gt;=66,"Above 65")</f>
        <v>36-50</v>
      </c>
      <c r="O295" s="6"/>
    </row>
    <row r="296" spans="1:15" x14ac:dyDescent="0.35">
      <c r="A296" t="s">
        <v>613</v>
      </c>
      <c r="B296" t="s">
        <v>183</v>
      </c>
      <c r="C296">
        <v>84</v>
      </c>
      <c r="D296" t="s">
        <v>18</v>
      </c>
      <c r="E296" s="5">
        <v>45443</v>
      </c>
      <c r="F296" s="5">
        <v>45446</v>
      </c>
      <c r="G296">
        <f t="shared" si="8"/>
        <v>3</v>
      </c>
      <c r="H296" t="s">
        <v>13</v>
      </c>
      <c r="I296" t="s">
        <v>19</v>
      </c>
      <c r="J296" s="2">
        <v>6113</v>
      </c>
      <c r="K296" s="6">
        <v>0.8</v>
      </c>
      <c r="L296" t="s">
        <v>15</v>
      </c>
      <c r="M296" s="3">
        <f t="shared" si="9"/>
        <v>6113</v>
      </c>
      <c r="N296" s="9" t="str" cm="1">
        <f t="array" ref="N296">_xlfn.IFS(C296&lt;18,"Under 18",C296&lt;36,"18-35",C296&lt;51,"36-50",C296&lt;66,"51-65",C296&gt;=66,"Above 65")</f>
        <v>Above 65</v>
      </c>
      <c r="O296" s="6"/>
    </row>
    <row r="297" spans="1:15" x14ac:dyDescent="0.35">
      <c r="A297" t="s">
        <v>614</v>
      </c>
      <c r="B297" t="s">
        <v>516</v>
      </c>
      <c r="C297">
        <v>70</v>
      </c>
      <c r="D297" t="s">
        <v>12</v>
      </c>
      <c r="E297" s="5">
        <v>45507</v>
      </c>
      <c r="F297" s="5">
        <v>45510</v>
      </c>
      <c r="G297">
        <f t="shared" si="8"/>
        <v>3</v>
      </c>
      <c r="H297" t="s">
        <v>23</v>
      </c>
      <c r="I297" t="s">
        <v>41</v>
      </c>
      <c r="J297" s="2">
        <v>4356.16</v>
      </c>
      <c r="K297" s="6">
        <v>0</v>
      </c>
      <c r="L297" t="s">
        <v>15</v>
      </c>
      <c r="M297" s="3">
        <f t="shared" si="9"/>
        <v>4356.16</v>
      </c>
      <c r="N297" s="9" t="str" cm="1">
        <f t="array" ref="N297">_xlfn.IFS(C297&lt;18,"Under 18",C297&lt;36,"18-35",C297&lt;51,"36-50",C297&lt;66,"51-65",C297&gt;=66,"Above 65")</f>
        <v>Above 65</v>
      </c>
      <c r="O297" s="6"/>
    </row>
    <row r="298" spans="1:15" x14ac:dyDescent="0.35">
      <c r="A298" t="s">
        <v>615</v>
      </c>
      <c r="B298" t="s">
        <v>616</v>
      </c>
      <c r="C298">
        <v>18</v>
      </c>
      <c r="D298" t="s">
        <v>12</v>
      </c>
      <c r="E298" s="5">
        <v>45794</v>
      </c>
      <c r="F298" s="5">
        <v>45797</v>
      </c>
      <c r="G298">
        <f t="shared" si="8"/>
        <v>3</v>
      </c>
      <c r="H298" t="s">
        <v>23</v>
      </c>
      <c r="I298" t="s">
        <v>24</v>
      </c>
      <c r="J298" s="2">
        <v>2810.17</v>
      </c>
      <c r="K298" s="6">
        <v>0.9</v>
      </c>
      <c r="L298" t="s">
        <v>15</v>
      </c>
      <c r="M298" s="3">
        <f t="shared" si="9"/>
        <v>2810.17</v>
      </c>
      <c r="N298" s="9" t="str" cm="1">
        <f t="array" ref="N298">_xlfn.IFS(C298&lt;18,"Under 18",C298&lt;36,"18-35",C298&lt;51,"36-50",C298&lt;66,"51-65",C298&gt;=66,"Above 65")</f>
        <v>18-35</v>
      </c>
      <c r="O298" s="6"/>
    </row>
    <row r="299" spans="1:15" x14ac:dyDescent="0.35">
      <c r="A299" t="s">
        <v>617</v>
      </c>
      <c r="B299" t="s">
        <v>618</v>
      </c>
      <c r="C299">
        <v>41</v>
      </c>
      <c r="D299" t="s">
        <v>18</v>
      </c>
      <c r="E299" s="5">
        <v>45559</v>
      </c>
      <c r="F299" s="5">
        <v>45563</v>
      </c>
      <c r="G299">
        <f t="shared" si="8"/>
        <v>4</v>
      </c>
      <c r="H299" t="s">
        <v>31</v>
      </c>
      <c r="I299" t="s">
        <v>87</v>
      </c>
      <c r="J299" s="2">
        <v>3049.69</v>
      </c>
      <c r="K299" s="6">
        <v>0.6</v>
      </c>
      <c r="L299" t="s">
        <v>15</v>
      </c>
      <c r="M299" s="3">
        <f t="shared" si="9"/>
        <v>3049.69</v>
      </c>
      <c r="N299" s="9" t="str" cm="1">
        <f t="array" ref="N299">_xlfn.IFS(C299&lt;18,"Under 18",C299&lt;36,"18-35",C299&lt;51,"36-50",C299&lt;66,"51-65",C299&gt;=66,"Above 65")</f>
        <v>36-50</v>
      </c>
      <c r="O299" s="6"/>
    </row>
    <row r="300" spans="1:15" x14ac:dyDescent="0.35">
      <c r="A300" t="s">
        <v>619</v>
      </c>
      <c r="B300" t="s">
        <v>620</v>
      </c>
      <c r="C300">
        <v>70</v>
      </c>
      <c r="D300" t="s">
        <v>18</v>
      </c>
      <c r="E300" s="5">
        <v>45763</v>
      </c>
      <c r="F300" s="5">
        <v>45766</v>
      </c>
      <c r="G300">
        <f t="shared" si="8"/>
        <v>3</v>
      </c>
      <c r="H300" t="s">
        <v>31</v>
      </c>
      <c r="I300" t="s">
        <v>87</v>
      </c>
      <c r="J300" s="2">
        <v>2096.4899999999998</v>
      </c>
      <c r="K300" s="6">
        <v>0.6</v>
      </c>
      <c r="L300" t="s">
        <v>20</v>
      </c>
      <c r="M300" s="3">
        <f t="shared" si="9"/>
        <v>0</v>
      </c>
      <c r="N300" s="9" t="str" cm="1">
        <f t="array" ref="N300">_xlfn.IFS(C300&lt;18,"Under 18",C300&lt;36,"18-35",C300&lt;51,"36-50",C300&lt;66,"51-65",C300&gt;=66,"Above 65")</f>
        <v>Above 65</v>
      </c>
      <c r="O300" s="6"/>
    </row>
    <row r="301" spans="1:15" x14ac:dyDescent="0.35">
      <c r="A301" t="s">
        <v>621</v>
      </c>
      <c r="B301" t="s">
        <v>622</v>
      </c>
      <c r="C301">
        <v>44</v>
      </c>
      <c r="D301" t="s">
        <v>18</v>
      </c>
      <c r="E301" s="5">
        <v>45905</v>
      </c>
      <c r="F301" s="5">
        <v>45910</v>
      </c>
      <c r="G301">
        <f t="shared" si="8"/>
        <v>5</v>
      </c>
      <c r="H301" t="s">
        <v>60</v>
      </c>
      <c r="I301" t="s">
        <v>97</v>
      </c>
      <c r="J301" s="2">
        <v>12341.99</v>
      </c>
      <c r="K301" s="6">
        <v>0.7</v>
      </c>
      <c r="L301" t="s">
        <v>15</v>
      </c>
      <c r="M301" s="3">
        <f t="shared" si="9"/>
        <v>12341.99</v>
      </c>
      <c r="N301" s="9" t="str" cm="1">
        <f t="array" ref="N301">_xlfn.IFS(C301&lt;18,"Under 18",C301&lt;36,"18-35",C301&lt;51,"36-50",C301&lt;66,"51-65",C301&gt;=66,"Above 65")</f>
        <v>36-50</v>
      </c>
      <c r="O301" s="6"/>
    </row>
    <row r="302" spans="1:15" x14ac:dyDescent="0.35">
      <c r="A302" t="s">
        <v>623</v>
      </c>
      <c r="B302" t="s">
        <v>624</v>
      </c>
      <c r="C302">
        <v>31</v>
      </c>
      <c r="D302" t="s">
        <v>12</v>
      </c>
      <c r="E302" s="5">
        <v>45882</v>
      </c>
      <c r="F302" s="5">
        <v>45885</v>
      </c>
      <c r="G302">
        <f t="shared" si="8"/>
        <v>3</v>
      </c>
      <c r="H302" t="s">
        <v>23</v>
      </c>
      <c r="I302" t="s">
        <v>333</v>
      </c>
      <c r="J302" s="2">
        <v>3445.79</v>
      </c>
      <c r="K302" s="6">
        <v>0.9</v>
      </c>
      <c r="L302" t="s">
        <v>15</v>
      </c>
      <c r="M302" s="3">
        <f t="shared" si="9"/>
        <v>3445.79</v>
      </c>
      <c r="N302" s="9" t="str" cm="1">
        <f t="array" ref="N302">_xlfn.IFS(C302&lt;18,"Under 18",C302&lt;36,"18-35",C302&lt;51,"36-50",C302&lt;66,"51-65",C302&gt;=66,"Above 65")</f>
        <v>18-35</v>
      </c>
      <c r="O302" s="6"/>
    </row>
    <row r="303" spans="1:15" x14ac:dyDescent="0.35">
      <c r="A303" t="s">
        <v>625</v>
      </c>
      <c r="B303" t="s">
        <v>626</v>
      </c>
      <c r="C303">
        <v>68</v>
      </c>
      <c r="D303" t="s">
        <v>18</v>
      </c>
      <c r="E303" s="5">
        <v>45395</v>
      </c>
      <c r="F303" s="5">
        <v>45398</v>
      </c>
      <c r="G303">
        <f t="shared" si="8"/>
        <v>3</v>
      </c>
      <c r="H303" t="s">
        <v>13</v>
      </c>
      <c r="I303" t="s">
        <v>111</v>
      </c>
      <c r="J303" s="2">
        <v>4176.93</v>
      </c>
      <c r="K303" s="6">
        <v>0</v>
      </c>
      <c r="L303" t="s">
        <v>15</v>
      </c>
      <c r="M303" s="3">
        <f t="shared" si="9"/>
        <v>4176.93</v>
      </c>
      <c r="N303" s="9" t="str" cm="1">
        <f t="array" ref="N303">_xlfn.IFS(C303&lt;18,"Under 18",C303&lt;36,"18-35",C303&lt;51,"36-50",C303&lt;66,"51-65",C303&gt;=66,"Above 65")</f>
        <v>Above 65</v>
      </c>
      <c r="O303" s="6"/>
    </row>
    <row r="304" spans="1:15" x14ac:dyDescent="0.35">
      <c r="A304" t="s">
        <v>627</v>
      </c>
      <c r="B304" t="s">
        <v>628</v>
      </c>
      <c r="C304">
        <v>50</v>
      </c>
      <c r="D304" t="s">
        <v>12</v>
      </c>
      <c r="E304" s="5">
        <v>46019</v>
      </c>
      <c r="F304" s="5">
        <v>46024</v>
      </c>
      <c r="G304">
        <f t="shared" si="8"/>
        <v>5</v>
      </c>
      <c r="H304" t="s">
        <v>13</v>
      </c>
      <c r="I304" t="s">
        <v>102</v>
      </c>
      <c r="J304" s="2">
        <v>10022.5</v>
      </c>
      <c r="K304" s="6">
        <v>0.7</v>
      </c>
      <c r="L304" t="s">
        <v>20</v>
      </c>
      <c r="M304" s="3">
        <f t="shared" si="9"/>
        <v>0</v>
      </c>
      <c r="N304" s="9" t="str" cm="1">
        <f t="array" ref="N304">_xlfn.IFS(C304&lt;18,"Under 18",C304&lt;36,"18-35",C304&lt;51,"36-50",C304&lt;66,"51-65",C304&gt;=66,"Above 65")</f>
        <v>36-50</v>
      </c>
      <c r="O304" s="6"/>
    </row>
    <row r="305" spans="1:15" x14ac:dyDescent="0.35">
      <c r="A305" t="s">
        <v>629</v>
      </c>
      <c r="B305" t="s">
        <v>630</v>
      </c>
      <c r="C305">
        <v>57</v>
      </c>
      <c r="D305" t="s">
        <v>12</v>
      </c>
      <c r="E305" s="5">
        <v>45342</v>
      </c>
      <c r="F305" s="5">
        <v>45349</v>
      </c>
      <c r="G305">
        <f t="shared" si="8"/>
        <v>7</v>
      </c>
      <c r="H305" t="s">
        <v>70</v>
      </c>
      <c r="I305" t="s">
        <v>157</v>
      </c>
      <c r="J305" s="2">
        <v>13346.03</v>
      </c>
      <c r="K305" s="6">
        <v>0.6</v>
      </c>
      <c r="L305" t="s">
        <v>15</v>
      </c>
      <c r="M305" s="3">
        <f t="shared" si="9"/>
        <v>13346.03</v>
      </c>
      <c r="N305" s="9" t="str" cm="1">
        <f t="array" ref="N305">_xlfn.IFS(C305&lt;18,"Under 18",C305&lt;36,"18-35",C305&lt;51,"36-50",C305&lt;66,"51-65",C305&gt;=66,"Above 65")</f>
        <v>51-65</v>
      </c>
      <c r="O305" s="6"/>
    </row>
    <row r="306" spans="1:15" x14ac:dyDescent="0.35">
      <c r="A306" t="s">
        <v>631</v>
      </c>
      <c r="B306" t="s">
        <v>328</v>
      </c>
      <c r="C306">
        <v>67</v>
      </c>
      <c r="D306" t="s">
        <v>18</v>
      </c>
      <c r="E306" s="5">
        <v>45912</v>
      </c>
      <c r="F306" s="5">
        <v>45918</v>
      </c>
      <c r="G306">
        <f t="shared" si="8"/>
        <v>6</v>
      </c>
      <c r="H306" t="s">
        <v>60</v>
      </c>
      <c r="I306" t="s">
        <v>97</v>
      </c>
      <c r="J306" s="2">
        <v>12949.84</v>
      </c>
      <c r="K306" s="6">
        <v>0.8</v>
      </c>
      <c r="L306" t="s">
        <v>15</v>
      </c>
      <c r="M306" s="3">
        <f t="shared" si="9"/>
        <v>12949.84</v>
      </c>
      <c r="N306" s="9" t="str" cm="1">
        <f t="array" ref="N306">_xlfn.IFS(C306&lt;18,"Under 18",C306&lt;36,"18-35",C306&lt;51,"36-50",C306&lt;66,"51-65",C306&gt;=66,"Above 65")</f>
        <v>Above 65</v>
      </c>
      <c r="O306" s="6"/>
    </row>
    <row r="307" spans="1:15" x14ac:dyDescent="0.35">
      <c r="A307" t="s">
        <v>632</v>
      </c>
      <c r="B307" t="s">
        <v>633</v>
      </c>
      <c r="C307">
        <v>76</v>
      </c>
      <c r="D307" t="s">
        <v>18</v>
      </c>
      <c r="E307" s="5">
        <v>45744</v>
      </c>
      <c r="F307" s="5">
        <v>45747</v>
      </c>
      <c r="G307">
        <f t="shared" si="8"/>
        <v>3</v>
      </c>
      <c r="H307" t="s">
        <v>70</v>
      </c>
      <c r="I307" t="s">
        <v>71</v>
      </c>
      <c r="J307" s="2">
        <v>5780.36</v>
      </c>
      <c r="K307" s="6">
        <v>0.9</v>
      </c>
      <c r="L307" t="s">
        <v>25</v>
      </c>
      <c r="M307" s="3">
        <f t="shared" si="9"/>
        <v>0</v>
      </c>
      <c r="N307" s="9" t="str" cm="1">
        <f t="array" ref="N307">_xlfn.IFS(C307&lt;18,"Under 18",C307&lt;36,"18-35",C307&lt;51,"36-50",C307&lt;66,"51-65",C307&gt;=66,"Above 65")</f>
        <v>Above 65</v>
      </c>
      <c r="O307" s="6"/>
    </row>
    <row r="308" spans="1:15" x14ac:dyDescent="0.35">
      <c r="A308" t="s">
        <v>634</v>
      </c>
      <c r="B308" t="s">
        <v>635</v>
      </c>
      <c r="C308">
        <v>25</v>
      </c>
      <c r="D308" t="s">
        <v>12</v>
      </c>
      <c r="E308" s="5">
        <v>45928</v>
      </c>
      <c r="F308" s="5">
        <v>45937</v>
      </c>
      <c r="G308">
        <f t="shared" si="8"/>
        <v>9</v>
      </c>
      <c r="H308" t="s">
        <v>60</v>
      </c>
      <c r="I308" t="s">
        <v>97</v>
      </c>
      <c r="J308" s="2">
        <v>12079.5</v>
      </c>
      <c r="K308" s="6">
        <v>0.6</v>
      </c>
      <c r="L308" t="s">
        <v>20</v>
      </c>
      <c r="M308" s="3">
        <f t="shared" si="9"/>
        <v>0</v>
      </c>
      <c r="N308" s="9" t="str" cm="1">
        <f t="array" ref="N308">_xlfn.IFS(C308&lt;18,"Under 18",C308&lt;36,"18-35",C308&lt;51,"36-50",C308&lt;66,"51-65",C308&gt;=66,"Above 65")</f>
        <v>18-35</v>
      </c>
      <c r="O308" s="6"/>
    </row>
    <row r="309" spans="1:15" x14ac:dyDescent="0.35">
      <c r="A309" t="s">
        <v>636</v>
      </c>
      <c r="B309" t="s">
        <v>637</v>
      </c>
      <c r="C309">
        <v>40</v>
      </c>
      <c r="D309" t="s">
        <v>12</v>
      </c>
      <c r="E309" s="5">
        <v>45615</v>
      </c>
      <c r="F309" s="5">
        <v>45622</v>
      </c>
      <c r="G309">
        <f t="shared" si="8"/>
        <v>7</v>
      </c>
      <c r="H309" t="s">
        <v>31</v>
      </c>
      <c r="I309" t="s">
        <v>53</v>
      </c>
      <c r="J309" s="2">
        <v>7389.52</v>
      </c>
      <c r="K309" s="6">
        <v>0.8</v>
      </c>
      <c r="L309" t="s">
        <v>20</v>
      </c>
      <c r="M309" s="3">
        <f t="shared" si="9"/>
        <v>0</v>
      </c>
      <c r="N309" s="9" t="str" cm="1">
        <f t="array" ref="N309">_xlfn.IFS(C309&lt;18,"Under 18",C309&lt;36,"18-35",C309&lt;51,"36-50",C309&lt;66,"51-65",C309&gt;=66,"Above 65")</f>
        <v>36-50</v>
      </c>
      <c r="O309" s="6"/>
    </row>
    <row r="310" spans="1:15" x14ac:dyDescent="0.35">
      <c r="A310" t="s">
        <v>638</v>
      </c>
      <c r="B310" t="s">
        <v>639</v>
      </c>
      <c r="C310">
        <v>78</v>
      </c>
      <c r="D310" t="s">
        <v>12</v>
      </c>
      <c r="E310" s="5">
        <v>45888</v>
      </c>
      <c r="F310" s="5">
        <v>45891</v>
      </c>
      <c r="G310">
        <f t="shared" si="8"/>
        <v>3</v>
      </c>
      <c r="H310" t="s">
        <v>13</v>
      </c>
      <c r="I310" t="s">
        <v>14</v>
      </c>
      <c r="J310" s="2">
        <v>5108.6400000000003</v>
      </c>
      <c r="K310" s="6">
        <v>0.6</v>
      </c>
      <c r="L310" t="s">
        <v>20</v>
      </c>
      <c r="M310" s="3">
        <f t="shared" si="9"/>
        <v>0</v>
      </c>
      <c r="N310" s="9" t="str" cm="1">
        <f t="array" ref="N310">_xlfn.IFS(C310&lt;18,"Under 18",C310&lt;36,"18-35",C310&lt;51,"36-50",C310&lt;66,"51-65",C310&gt;=66,"Above 65")</f>
        <v>Above 65</v>
      </c>
      <c r="O310" s="6"/>
    </row>
    <row r="311" spans="1:15" x14ac:dyDescent="0.35">
      <c r="A311" t="s">
        <v>640</v>
      </c>
      <c r="B311" t="s">
        <v>641</v>
      </c>
      <c r="C311">
        <v>30</v>
      </c>
      <c r="D311" t="s">
        <v>12</v>
      </c>
      <c r="E311" s="5">
        <v>45436</v>
      </c>
      <c r="F311" s="5">
        <v>45438</v>
      </c>
      <c r="G311">
        <f t="shared" si="8"/>
        <v>2</v>
      </c>
      <c r="H311" t="s">
        <v>23</v>
      </c>
      <c r="I311" t="s">
        <v>41</v>
      </c>
      <c r="J311" s="2">
        <v>3176.54</v>
      </c>
      <c r="K311" s="6">
        <v>0.8</v>
      </c>
      <c r="L311" t="s">
        <v>15</v>
      </c>
      <c r="M311" s="3">
        <f t="shared" si="9"/>
        <v>3176.54</v>
      </c>
      <c r="N311" s="9" t="str" cm="1">
        <f t="array" ref="N311">_xlfn.IFS(C311&lt;18,"Under 18",C311&lt;36,"18-35",C311&lt;51,"36-50",C311&lt;66,"51-65",C311&gt;=66,"Above 65")</f>
        <v>18-35</v>
      </c>
      <c r="O311" s="6"/>
    </row>
    <row r="312" spans="1:15" x14ac:dyDescent="0.35">
      <c r="A312" t="s">
        <v>642</v>
      </c>
      <c r="B312" t="s">
        <v>643</v>
      </c>
      <c r="C312">
        <v>54</v>
      </c>
      <c r="D312" t="s">
        <v>12</v>
      </c>
      <c r="E312" s="5">
        <v>45544</v>
      </c>
      <c r="F312" s="5">
        <v>45552</v>
      </c>
      <c r="G312">
        <f t="shared" si="8"/>
        <v>8</v>
      </c>
      <c r="H312" t="s">
        <v>60</v>
      </c>
      <c r="I312" t="s">
        <v>133</v>
      </c>
      <c r="J312" s="2">
        <v>17049.400000000001</v>
      </c>
      <c r="K312" s="6">
        <v>1</v>
      </c>
      <c r="L312" t="s">
        <v>25</v>
      </c>
      <c r="M312" s="3">
        <f t="shared" si="9"/>
        <v>0</v>
      </c>
      <c r="N312" s="9" t="str" cm="1">
        <f t="array" ref="N312">_xlfn.IFS(C312&lt;18,"Under 18",C312&lt;36,"18-35",C312&lt;51,"36-50",C312&lt;66,"51-65",C312&gt;=66,"Above 65")</f>
        <v>51-65</v>
      </c>
      <c r="O312" s="6"/>
    </row>
    <row r="313" spans="1:15" x14ac:dyDescent="0.35">
      <c r="A313" t="s">
        <v>644</v>
      </c>
      <c r="B313" t="s">
        <v>645</v>
      </c>
      <c r="C313">
        <v>67</v>
      </c>
      <c r="D313" t="s">
        <v>18</v>
      </c>
      <c r="E313" s="5">
        <v>45969</v>
      </c>
      <c r="F313" s="5">
        <v>45970</v>
      </c>
      <c r="G313">
        <f t="shared" si="8"/>
        <v>1</v>
      </c>
      <c r="H313" t="s">
        <v>23</v>
      </c>
      <c r="I313" t="s">
        <v>333</v>
      </c>
      <c r="J313" s="2">
        <v>1997.86</v>
      </c>
      <c r="K313" s="6">
        <v>0.7</v>
      </c>
      <c r="L313" t="s">
        <v>15</v>
      </c>
      <c r="M313" s="3">
        <f t="shared" si="9"/>
        <v>1997.86</v>
      </c>
      <c r="N313" s="9" t="str" cm="1">
        <f t="array" ref="N313">_xlfn.IFS(C313&lt;18,"Under 18",C313&lt;36,"18-35",C313&lt;51,"36-50",C313&lt;66,"51-65",C313&gt;=66,"Above 65")</f>
        <v>Above 65</v>
      </c>
      <c r="O313" s="6"/>
    </row>
    <row r="314" spans="1:15" x14ac:dyDescent="0.35">
      <c r="A314" t="s">
        <v>646</v>
      </c>
      <c r="B314" t="s">
        <v>647</v>
      </c>
      <c r="C314">
        <v>43</v>
      </c>
      <c r="D314" t="s">
        <v>12</v>
      </c>
      <c r="E314" s="5">
        <v>45519</v>
      </c>
      <c r="F314" s="5">
        <v>45523</v>
      </c>
      <c r="G314">
        <f t="shared" si="8"/>
        <v>4</v>
      </c>
      <c r="H314" t="s">
        <v>31</v>
      </c>
      <c r="I314" t="s">
        <v>44</v>
      </c>
      <c r="J314" s="2">
        <v>4991.59</v>
      </c>
      <c r="K314" s="6">
        <v>0</v>
      </c>
      <c r="L314" t="s">
        <v>25</v>
      </c>
      <c r="M314" s="3">
        <f t="shared" si="9"/>
        <v>0</v>
      </c>
      <c r="N314" s="9" t="str" cm="1">
        <f t="array" ref="N314">_xlfn.IFS(C314&lt;18,"Under 18",C314&lt;36,"18-35",C314&lt;51,"36-50",C314&lt;66,"51-65",C314&gt;=66,"Above 65")</f>
        <v>36-50</v>
      </c>
      <c r="O314" s="6"/>
    </row>
    <row r="315" spans="1:15" x14ac:dyDescent="0.35">
      <c r="A315" t="s">
        <v>648</v>
      </c>
      <c r="B315" t="s">
        <v>649</v>
      </c>
      <c r="C315">
        <v>70</v>
      </c>
      <c r="D315" t="s">
        <v>18</v>
      </c>
      <c r="E315" s="5">
        <v>45524</v>
      </c>
      <c r="F315" s="5">
        <v>45533</v>
      </c>
      <c r="G315">
        <f t="shared" si="8"/>
        <v>9</v>
      </c>
      <c r="H315" t="s">
        <v>70</v>
      </c>
      <c r="I315" t="s">
        <v>157</v>
      </c>
      <c r="J315" s="2">
        <v>17095.62</v>
      </c>
      <c r="K315" s="6">
        <v>0.9</v>
      </c>
      <c r="L315" t="s">
        <v>15</v>
      </c>
      <c r="M315" s="3">
        <f t="shared" si="9"/>
        <v>17095.62</v>
      </c>
      <c r="N315" s="9" t="str" cm="1">
        <f t="array" ref="N315">_xlfn.IFS(C315&lt;18,"Under 18",C315&lt;36,"18-35",C315&lt;51,"36-50",C315&lt;66,"51-65",C315&gt;=66,"Above 65")</f>
        <v>Above 65</v>
      </c>
      <c r="O315" s="6"/>
    </row>
    <row r="316" spans="1:15" x14ac:dyDescent="0.35">
      <c r="A316" t="s">
        <v>650</v>
      </c>
      <c r="B316" t="s">
        <v>651</v>
      </c>
      <c r="C316">
        <v>64</v>
      </c>
      <c r="D316" t="s">
        <v>12</v>
      </c>
      <c r="E316" s="5">
        <v>45887</v>
      </c>
      <c r="F316" s="5">
        <v>45889</v>
      </c>
      <c r="G316">
        <f t="shared" si="8"/>
        <v>2</v>
      </c>
      <c r="H316" t="s">
        <v>23</v>
      </c>
      <c r="I316" t="s">
        <v>204</v>
      </c>
      <c r="J316" s="2">
        <v>4730.04</v>
      </c>
      <c r="K316" s="6">
        <v>0.8</v>
      </c>
      <c r="L316" t="s">
        <v>15</v>
      </c>
      <c r="M316" s="3">
        <f t="shared" si="9"/>
        <v>4730.04</v>
      </c>
      <c r="N316" s="9" t="str" cm="1">
        <f t="array" ref="N316">_xlfn.IFS(C316&lt;18,"Under 18",C316&lt;36,"18-35",C316&lt;51,"36-50",C316&lt;66,"51-65",C316&gt;=66,"Above 65")</f>
        <v>51-65</v>
      </c>
      <c r="O316" s="6"/>
    </row>
    <row r="317" spans="1:15" x14ac:dyDescent="0.35">
      <c r="A317" t="s">
        <v>652</v>
      </c>
      <c r="B317" t="s">
        <v>525</v>
      </c>
      <c r="C317">
        <v>56</v>
      </c>
      <c r="D317" t="s">
        <v>12</v>
      </c>
      <c r="E317" s="5">
        <v>45559</v>
      </c>
      <c r="F317" s="5">
        <v>45566</v>
      </c>
      <c r="G317">
        <f t="shared" si="8"/>
        <v>7</v>
      </c>
      <c r="H317" t="s">
        <v>31</v>
      </c>
      <c r="I317" t="s">
        <v>32</v>
      </c>
      <c r="J317" s="2">
        <v>10303.59</v>
      </c>
      <c r="K317" s="6">
        <v>0.7</v>
      </c>
      <c r="L317" t="s">
        <v>20</v>
      </c>
      <c r="M317" s="3">
        <f t="shared" si="9"/>
        <v>0</v>
      </c>
      <c r="N317" s="9" t="str" cm="1">
        <f t="array" ref="N317">_xlfn.IFS(C317&lt;18,"Under 18",C317&lt;36,"18-35",C317&lt;51,"36-50",C317&lt;66,"51-65",C317&gt;=66,"Above 65")</f>
        <v>51-65</v>
      </c>
      <c r="O317" s="6"/>
    </row>
    <row r="318" spans="1:15" x14ac:dyDescent="0.35">
      <c r="A318" t="s">
        <v>653</v>
      </c>
      <c r="B318" t="s">
        <v>654</v>
      </c>
      <c r="C318">
        <v>56</v>
      </c>
      <c r="D318" t="s">
        <v>12</v>
      </c>
      <c r="E318" s="5">
        <v>45447</v>
      </c>
      <c r="F318" s="5">
        <v>45453</v>
      </c>
      <c r="G318">
        <f t="shared" si="8"/>
        <v>6</v>
      </c>
      <c r="H318" t="s">
        <v>31</v>
      </c>
      <c r="I318" t="s">
        <v>114</v>
      </c>
      <c r="J318" s="2">
        <v>7120.81</v>
      </c>
      <c r="K318" s="6">
        <v>0.8</v>
      </c>
      <c r="L318" t="s">
        <v>25</v>
      </c>
      <c r="M318" s="3">
        <f t="shared" si="9"/>
        <v>0</v>
      </c>
      <c r="N318" s="9" t="str" cm="1">
        <f t="array" ref="N318">_xlfn.IFS(C318&lt;18,"Under 18",C318&lt;36,"18-35",C318&lt;51,"36-50",C318&lt;66,"51-65",C318&gt;=66,"Above 65")</f>
        <v>51-65</v>
      </c>
      <c r="O318" s="6"/>
    </row>
    <row r="319" spans="1:15" x14ac:dyDescent="0.35">
      <c r="A319" t="s">
        <v>655</v>
      </c>
      <c r="B319" t="s">
        <v>651</v>
      </c>
      <c r="C319">
        <v>38</v>
      </c>
      <c r="D319" t="s">
        <v>12</v>
      </c>
      <c r="E319" s="5">
        <v>45850</v>
      </c>
      <c r="F319" s="5">
        <v>45851</v>
      </c>
      <c r="G319">
        <f t="shared" si="8"/>
        <v>1</v>
      </c>
      <c r="H319" t="s">
        <v>23</v>
      </c>
      <c r="I319" t="s">
        <v>41</v>
      </c>
      <c r="J319" s="2">
        <v>1418.29</v>
      </c>
      <c r="K319" s="6">
        <v>0.8</v>
      </c>
      <c r="L319" t="s">
        <v>15</v>
      </c>
      <c r="M319" s="3">
        <f t="shared" si="9"/>
        <v>1418.29</v>
      </c>
      <c r="N319" s="9" t="str" cm="1">
        <f t="array" ref="N319">_xlfn.IFS(C319&lt;18,"Under 18",C319&lt;36,"18-35",C319&lt;51,"36-50",C319&lt;66,"51-65",C319&gt;=66,"Above 65")</f>
        <v>36-50</v>
      </c>
      <c r="O319" s="6"/>
    </row>
    <row r="320" spans="1:15" x14ac:dyDescent="0.35">
      <c r="A320" t="s">
        <v>656</v>
      </c>
      <c r="B320" t="s">
        <v>657</v>
      </c>
      <c r="C320">
        <v>77</v>
      </c>
      <c r="D320" t="s">
        <v>12</v>
      </c>
      <c r="E320" s="5">
        <v>45405</v>
      </c>
      <c r="F320" s="5">
        <v>45408</v>
      </c>
      <c r="G320">
        <f t="shared" si="8"/>
        <v>3</v>
      </c>
      <c r="H320" t="s">
        <v>23</v>
      </c>
      <c r="I320" t="s">
        <v>221</v>
      </c>
      <c r="J320" s="2">
        <v>4818.3999999999996</v>
      </c>
      <c r="K320" s="6">
        <v>0.6</v>
      </c>
      <c r="L320" t="s">
        <v>15</v>
      </c>
      <c r="M320" s="3">
        <f t="shared" si="9"/>
        <v>4818.3999999999996</v>
      </c>
      <c r="N320" s="9" t="str" cm="1">
        <f t="array" ref="N320">_xlfn.IFS(C320&lt;18,"Under 18",C320&lt;36,"18-35",C320&lt;51,"36-50",C320&lt;66,"51-65",C320&gt;=66,"Above 65")</f>
        <v>Above 65</v>
      </c>
      <c r="O320" s="6"/>
    </row>
    <row r="321" spans="1:15" x14ac:dyDescent="0.35">
      <c r="A321" t="s">
        <v>658</v>
      </c>
      <c r="B321" t="s">
        <v>146</v>
      </c>
      <c r="C321">
        <v>51</v>
      </c>
      <c r="D321" t="s">
        <v>12</v>
      </c>
      <c r="E321" s="5">
        <v>45343</v>
      </c>
      <c r="F321" s="5">
        <v>45344</v>
      </c>
      <c r="G321">
        <f t="shared" si="8"/>
        <v>1</v>
      </c>
      <c r="H321" t="s">
        <v>23</v>
      </c>
      <c r="I321" t="s">
        <v>24</v>
      </c>
      <c r="J321" s="2">
        <v>1333.29</v>
      </c>
      <c r="K321" s="6">
        <v>0.7</v>
      </c>
      <c r="L321" t="s">
        <v>15</v>
      </c>
      <c r="M321" s="3">
        <f t="shared" si="9"/>
        <v>1333.29</v>
      </c>
      <c r="N321" s="9" t="str" cm="1">
        <f t="array" ref="N321">_xlfn.IFS(C321&lt;18,"Under 18",C321&lt;36,"18-35",C321&lt;51,"36-50",C321&lt;66,"51-65",C321&gt;=66,"Above 65")</f>
        <v>51-65</v>
      </c>
      <c r="O321" s="6"/>
    </row>
    <row r="322" spans="1:15" x14ac:dyDescent="0.35">
      <c r="A322" t="s">
        <v>659</v>
      </c>
      <c r="B322" t="s">
        <v>660</v>
      </c>
      <c r="C322">
        <v>34</v>
      </c>
      <c r="D322" t="s">
        <v>18</v>
      </c>
      <c r="E322" s="5">
        <v>45743</v>
      </c>
      <c r="F322" s="5">
        <v>45744</v>
      </c>
      <c r="G322">
        <f t="shared" si="8"/>
        <v>1</v>
      </c>
      <c r="H322" t="s">
        <v>23</v>
      </c>
      <c r="I322" t="s">
        <v>221</v>
      </c>
      <c r="J322" s="2">
        <v>1437.43</v>
      </c>
      <c r="K322" s="6">
        <v>1</v>
      </c>
      <c r="L322" t="s">
        <v>15</v>
      </c>
      <c r="M322" s="3">
        <f t="shared" si="9"/>
        <v>1437.43</v>
      </c>
      <c r="N322" s="9" t="str" cm="1">
        <f t="array" ref="N322">_xlfn.IFS(C322&lt;18,"Under 18",C322&lt;36,"18-35",C322&lt;51,"36-50",C322&lt;66,"51-65",C322&gt;=66,"Above 65")</f>
        <v>18-35</v>
      </c>
      <c r="O322" s="6"/>
    </row>
    <row r="323" spans="1:15" x14ac:dyDescent="0.35">
      <c r="A323" t="s">
        <v>661</v>
      </c>
      <c r="B323" t="s">
        <v>662</v>
      </c>
      <c r="C323">
        <v>64</v>
      </c>
      <c r="D323" t="s">
        <v>12</v>
      </c>
      <c r="E323" s="5">
        <v>45819</v>
      </c>
      <c r="F323" s="5">
        <v>45822</v>
      </c>
      <c r="G323">
        <f t="shared" ref="G323:G386" si="10">DATEDIF(E323,F323,"D")</f>
        <v>3</v>
      </c>
      <c r="H323" t="s">
        <v>31</v>
      </c>
      <c r="I323" t="s">
        <v>87</v>
      </c>
      <c r="J323" s="2">
        <v>2608.29</v>
      </c>
      <c r="K323" s="6">
        <v>0</v>
      </c>
      <c r="L323" t="s">
        <v>15</v>
      </c>
      <c r="M323" s="3">
        <f t="shared" ref="M323:M386" si="11">IF(L323 = "Paid",J323,0)</f>
        <v>2608.29</v>
      </c>
      <c r="N323" s="9" t="str" cm="1">
        <f t="array" ref="N323">_xlfn.IFS(C323&lt;18,"Under 18",C323&lt;36,"18-35",C323&lt;51,"36-50",C323&lt;66,"51-65",C323&gt;=66,"Above 65")</f>
        <v>51-65</v>
      </c>
      <c r="O323" s="6"/>
    </row>
    <row r="324" spans="1:15" x14ac:dyDescent="0.35">
      <c r="A324" t="s">
        <v>663</v>
      </c>
      <c r="B324" t="s">
        <v>664</v>
      </c>
      <c r="C324">
        <v>8</v>
      </c>
      <c r="D324" t="s">
        <v>18</v>
      </c>
      <c r="E324" s="5">
        <v>45426</v>
      </c>
      <c r="F324" s="5">
        <v>45430</v>
      </c>
      <c r="G324">
        <f t="shared" si="10"/>
        <v>4</v>
      </c>
      <c r="H324" t="s">
        <v>49</v>
      </c>
      <c r="I324" t="s">
        <v>130</v>
      </c>
      <c r="J324" s="2">
        <v>6107.32</v>
      </c>
      <c r="K324" s="6">
        <v>0.8</v>
      </c>
      <c r="L324" t="s">
        <v>15</v>
      </c>
      <c r="M324" s="3">
        <f t="shared" si="11"/>
        <v>6107.32</v>
      </c>
      <c r="N324" s="9" t="str" cm="1">
        <f t="array" ref="N324">_xlfn.IFS(C324&lt;18,"Under 18",C324&lt;36,"18-35",C324&lt;51,"36-50",C324&lt;66,"51-65",C324&gt;=66,"Above 65")</f>
        <v>Under 18</v>
      </c>
      <c r="O324" s="6"/>
    </row>
    <row r="325" spans="1:15" x14ac:dyDescent="0.35">
      <c r="A325" t="s">
        <v>665</v>
      </c>
      <c r="B325" t="s">
        <v>666</v>
      </c>
      <c r="C325">
        <v>5</v>
      </c>
      <c r="D325" t="s">
        <v>18</v>
      </c>
      <c r="E325" s="5">
        <v>45359</v>
      </c>
      <c r="F325" s="5">
        <v>45360</v>
      </c>
      <c r="G325">
        <f t="shared" si="10"/>
        <v>1</v>
      </c>
      <c r="H325" t="s">
        <v>49</v>
      </c>
      <c r="I325" t="s">
        <v>120</v>
      </c>
      <c r="J325" s="2">
        <v>763.74</v>
      </c>
      <c r="K325" s="6">
        <v>0.9</v>
      </c>
      <c r="L325" t="s">
        <v>20</v>
      </c>
      <c r="M325" s="3">
        <f t="shared" si="11"/>
        <v>0</v>
      </c>
      <c r="N325" s="9" t="str" cm="1">
        <f t="array" ref="N325">_xlfn.IFS(C325&lt;18,"Under 18",C325&lt;36,"18-35",C325&lt;51,"36-50",C325&lt;66,"51-65",C325&gt;=66,"Above 65")</f>
        <v>Under 18</v>
      </c>
      <c r="O325" s="6"/>
    </row>
    <row r="326" spans="1:15" x14ac:dyDescent="0.35">
      <c r="A326" t="s">
        <v>667</v>
      </c>
      <c r="B326" t="s">
        <v>668</v>
      </c>
      <c r="C326">
        <v>3</v>
      </c>
      <c r="D326" t="s">
        <v>18</v>
      </c>
      <c r="E326" s="5">
        <v>45833</v>
      </c>
      <c r="F326" s="5">
        <v>45838</v>
      </c>
      <c r="G326">
        <f t="shared" si="10"/>
        <v>5</v>
      </c>
      <c r="H326" t="s">
        <v>49</v>
      </c>
      <c r="I326" t="s">
        <v>123</v>
      </c>
      <c r="J326" s="2">
        <v>8208.35</v>
      </c>
      <c r="K326" s="6">
        <v>0</v>
      </c>
      <c r="L326" t="s">
        <v>25</v>
      </c>
      <c r="M326" s="3">
        <f t="shared" si="11"/>
        <v>0</v>
      </c>
      <c r="N326" s="9" t="str" cm="1">
        <f t="array" ref="N326">_xlfn.IFS(C326&lt;18,"Under 18",C326&lt;36,"18-35",C326&lt;51,"36-50",C326&lt;66,"51-65",C326&gt;=66,"Above 65")</f>
        <v>Under 18</v>
      </c>
      <c r="O326" s="6"/>
    </row>
    <row r="327" spans="1:15" x14ac:dyDescent="0.35">
      <c r="A327" t="s">
        <v>669</v>
      </c>
      <c r="B327" t="s">
        <v>670</v>
      </c>
      <c r="C327">
        <v>26</v>
      </c>
      <c r="D327" t="s">
        <v>18</v>
      </c>
      <c r="E327" s="5">
        <v>45484</v>
      </c>
      <c r="F327" s="5">
        <v>45498</v>
      </c>
      <c r="G327">
        <f t="shared" si="10"/>
        <v>14</v>
      </c>
      <c r="H327" t="s">
        <v>60</v>
      </c>
      <c r="I327" t="s">
        <v>133</v>
      </c>
      <c r="J327" s="2">
        <v>20575.84</v>
      </c>
      <c r="K327" s="6">
        <v>0.8</v>
      </c>
      <c r="L327" t="s">
        <v>20</v>
      </c>
      <c r="M327" s="3">
        <f t="shared" si="11"/>
        <v>0</v>
      </c>
      <c r="N327" s="9" t="str" cm="1">
        <f t="array" ref="N327">_xlfn.IFS(C327&lt;18,"Under 18",C327&lt;36,"18-35",C327&lt;51,"36-50",C327&lt;66,"51-65",C327&gt;=66,"Above 65")</f>
        <v>18-35</v>
      </c>
      <c r="O327" s="6"/>
    </row>
    <row r="328" spans="1:15" x14ac:dyDescent="0.35">
      <c r="A328" t="s">
        <v>671</v>
      </c>
      <c r="B328" t="s">
        <v>672</v>
      </c>
      <c r="C328">
        <v>1</v>
      </c>
      <c r="D328" t="s">
        <v>12</v>
      </c>
      <c r="E328" s="5">
        <v>45863</v>
      </c>
      <c r="F328" s="5">
        <v>45866</v>
      </c>
      <c r="G328">
        <f t="shared" si="10"/>
        <v>3</v>
      </c>
      <c r="H328" t="s">
        <v>49</v>
      </c>
      <c r="I328" t="s">
        <v>117</v>
      </c>
      <c r="J328" s="2">
        <v>5295.19</v>
      </c>
      <c r="K328" s="6">
        <v>0.9</v>
      </c>
      <c r="L328" t="s">
        <v>15</v>
      </c>
      <c r="M328" s="3">
        <f t="shared" si="11"/>
        <v>5295.19</v>
      </c>
      <c r="N328" s="9" t="str" cm="1">
        <f t="array" ref="N328">_xlfn.IFS(C328&lt;18,"Under 18",C328&lt;36,"18-35",C328&lt;51,"36-50",C328&lt;66,"51-65",C328&gt;=66,"Above 65")</f>
        <v>Under 18</v>
      </c>
      <c r="O328" s="6"/>
    </row>
    <row r="329" spans="1:15" x14ac:dyDescent="0.35">
      <c r="A329" t="s">
        <v>673</v>
      </c>
      <c r="B329" t="s">
        <v>674</v>
      </c>
      <c r="C329">
        <v>35</v>
      </c>
      <c r="D329" t="s">
        <v>18</v>
      </c>
      <c r="E329" s="5">
        <v>45973</v>
      </c>
      <c r="F329" s="5">
        <v>45982</v>
      </c>
      <c r="G329">
        <f t="shared" si="10"/>
        <v>9</v>
      </c>
      <c r="H329" t="s">
        <v>60</v>
      </c>
      <c r="I329" t="s">
        <v>74</v>
      </c>
      <c r="J329" s="2">
        <v>23024.560000000001</v>
      </c>
      <c r="K329" s="6">
        <v>0.7</v>
      </c>
      <c r="L329" t="s">
        <v>20</v>
      </c>
      <c r="M329" s="3">
        <f t="shared" si="11"/>
        <v>0</v>
      </c>
      <c r="N329" s="9" t="str" cm="1">
        <f t="array" ref="N329">_xlfn.IFS(C329&lt;18,"Under 18",C329&lt;36,"18-35",C329&lt;51,"36-50",C329&lt;66,"51-65",C329&gt;=66,"Above 65")</f>
        <v>18-35</v>
      </c>
      <c r="O329" s="6"/>
    </row>
    <row r="330" spans="1:15" x14ac:dyDescent="0.35">
      <c r="A330" t="s">
        <v>675</v>
      </c>
      <c r="B330" t="s">
        <v>433</v>
      </c>
      <c r="C330">
        <v>33</v>
      </c>
      <c r="D330" t="s">
        <v>18</v>
      </c>
      <c r="E330" s="5">
        <v>45782</v>
      </c>
      <c r="F330" s="5">
        <v>45785</v>
      </c>
      <c r="G330">
        <f t="shared" si="10"/>
        <v>3</v>
      </c>
      <c r="H330" t="s">
        <v>23</v>
      </c>
      <c r="I330" t="s">
        <v>333</v>
      </c>
      <c r="J330" s="2">
        <v>7452.68</v>
      </c>
      <c r="K330" s="6">
        <v>0.7</v>
      </c>
      <c r="L330" t="s">
        <v>15</v>
      </c>
      <c r="M330" s="3">
        <f t="shared" si="11"/>
        <v>7452.68</v>
      </c>
      <c r="N330" s="9" t="str" cm="1">
        <f t="array" ref="N330">_xlfn.IFS(C330&lt;18,"Under 18",C330&lt;36,"18-35",C330&lt;51,"36-50",C330&lt;66,"51-65",C330&gt;=66,"Above 65")</f>
        <v>18-35</v>
      </c>
      <c r="O330" s="6"/>
    </row>
    <row r="331" spans="1:15" x14ac:dyDescent="0.35">
      <c r="A331" t="s">
        <v>676</v>
      </c>
      <c r="B331" t="s">
        <v>196</v>
      </c>
      <c r="C331">
        <v>80</v>
      </c>
      <c r="D331" t="s">
        <v>12</v>
      </c>
      <c r="E331" s="5">
        <v>45354</v>
      </c>
      <c r="F331" s="5">
        <v>45362</v>
      </c>
      <c r="G331">
        <f t="shared" si="10"/>
        <v>8</v>
      </c>
      <c r="H331" t="s">
        <v>70</v>
      </c>
      <c r="I331" t="s">
        <v>237</v>
      </c>
      <c r="J331" s="2">
        <v>10908.13</v>
      </c>
      <c r="K331" s="6">
        <v>0.6</v>
      </c>
      <c r="L331" t="s">
        <v>15</v>
      </c>
      <c r="M331" s="3">
        <f t="shared" si="11"/>
        <v>10908.13</v>
      </c>
      <c r="N331" s="9" t="str" cm="1">
        <f t="array" ref="N331">_xlfn.IFS(C331&lt;18,"Under 18",C331&lt;36,"18-35",C331&lt;51,"36-50",C331&lt;66,"51-65",C331&gt;=66,"Above 65")</f>
        <v>Above 65</v>
      </c>
      <c r="O331" s="6"/>
    </row>
    <row r="332" spans="1:15" x14ac:dyDescent="0.35">
      <c r="A332" t="s">
        <v>677</v>
      </c>
      <c r="B332" t="s">
        <v>46</v>
      </c>
      <c r="C332">
        <v>27</v>
      </c>
      <c r="D332" t="s">
        <v>12</v>
      </c>
      <c r="E332" s="5">
        <v>45405</v>
      </c>
      <c r="F332" s="5">
        <v>45411</v>
      </c>
      <c r="G332">
        <f t="shared" si="10"/>
        <v>6</v>
      </c>
      <c r="H332" t="s">
        <v>31</v>
      </c>
      <c r="I332" t="s">
        <v>114</v>
      </c>
      <c r="J332" s="2">
        <v>7501.37</v>
      </c>
      <c r="K332" s="6">
        <v>0.7</v>
      </c>
      <c r="L332" t="s">
        <v>25</v>
      </c>
      <c r="M332" s="3">
        <f t="shared" si="11"/>
        <v>0</v>
      </c>
      <c r="N332" s="9" t="str" cm="1">
        <f t="array" ref="N332">_xlfn.IFS(C332&lt;18,"Under 18",C332&lt;36,"18-35",C332&lt;51,"36-50",C332&lt;66,"51-65",C332&gt;=66,"Above 65")</f>
        <v>18-35</v>
      </c>
      <c r="O332" s="6"/>
    </row>
    <row r="333" spans="1:15" x14ac:dyDescent="0.35">
      <c r="A333" t="s">
        <v>678</v>
      </c>
      <c r="B333" t="s">
        <v>300</v>
      </c>
      <c r="C333">
        <v>61</v>
      </c>
      <c r="D333" t="s">
        <v>18</v>
      </c>
      <c r="E333" s="5">
        <v>45771</v>
      </c>
      <c r="F333" s="5">
        <v>45772</v>
      </c>
      <c r="G333">
        <f t="shared" si="10"/>
        <v>1</v>
      </c>
      <c r="H333" t="s">
        <v>23</v>
      </c>
      <c r="I333" t="s">
        <v>333</v>
      </c>
      <c r="J333" s="2">
        <v>1264.69</v>
      </c>
      <c r="K333" s="6">
        <v>0.9</v>
      </c>
      <c r="L333" t="s">
        <v>15</v>
      </c>
      <c r="M333" s="3">
        <f t="shared" si="11"/>
        <v>1264.69</v>
      </c>
      <c r="N333" s="9" t="str" cm="1">
        <f t="array" ref="N333">_xlfn.IFS(C333&lt;18,"Under 18",C333&lt;36,"18-35",C333&lt;51,"36-50",C333&lt;66,"51-65",C333&gt;=66,"Above 65")</f>
        <v>51-65</v>
      </c>
      <c r="O333" s="6"/>
    </row>
    <row r="334" spans="1:15" x14ac:dyDescent="0.35">
      <c r="A334" t="s">
        <v>679</v>
      </c>
      <c r="B334" t="s">
        <v>680</v>
      </c>
      <c r="C334">
        <v>54</v>
      </c>
      <c r="D334" t="s">
        <v>18</v>
      </c>
      <c r="E334" s="5">
        <v>45420</v>
      </c>
      <c r="F334" s="5">
        <v>45431</v>
      </c>
      <c r="G334">
        <f t="shared" si="10"/>
        <v>11</v>
      </c>
      <c r="H334" t="s">
        <v>60</v>
      </c>
      <c r="I334" t="s">
        <v>74</v>
      </c>
      <c r="J334" s="2">
        <v>26730.35</v>
      </c>
      <c r="K334" s="6">
        <v>0</v>
      </c>
      <c r="L334" t="s">
        <v>20</v>
      </c>
      <c r="M334" s="3">
        <f t="shared" si="11"/>
        <v>0</v>
      </c>
      <c r="N334" s="9" t="str" cm="1">
        <f t="array" ref="N334">_xlfn.IFS(C334&lt;18,"Under 18",C334&lt;36,"18-35",C334&lt;51,"36-50",C334&lt;66,"51-65",C334&gt;=66,"Above 65")</f>
        <v>51-65</v>
      </c>
      <c r="O334" s="6"/>
    </row>
    <row r="335" spans="1:15" x14ac:dyDescent="0.35">
      <c r="A335" t="s">
        <v>681</v>
      </c>
      <c r="B335" t="s">
        <v>468</v>
      </c>
      <c r="C335">
        <v>57</v>
      </c>
      <c r="D335" t="s">
        <v>18</v>
      </c>
      <c r="E335" s="5">
        <v>45746</v>
      </c>
      <c r="F335" s="5">
        <v>45749</v>
      </c>
      <c r="G335">
        <f t="shared" si="10"/>
        <v>3</v>
      </c>
      <c r="H335" t="s">
        <v>70</v>
      </c>
      <c r="I335" t="s">
        <v>94</v>
      </c>
      <c r="J335" s="2">
        <v>6655.97</v>
      </c>
      <c r="K335" s="6">
        <v>0.6</v>
      </c>
      <c r="L335" t="s">
        <v>20</v>
      </c>
      <c r="M335" s="3">
        <f t="shared" si="11"/>
        <v>0</v>
      </c>
      <c r="N335" s="9" t="str" cm="1">
        <f t="array" ref="N335">_xlfn.IFS(C335&lt;18,"Under 18",C335&lt;36,"18-35",C335&lt;51,"36-50",C335&lt;66,"51-65",C335&gt;=66,"Above 65")</f>
        <v>51-65</v>
      </c>
      <c r="O335" s="6"/>
    </row>
    <row r="336" spans="1:15" x14ac:dyDescent="0.35">
      <c r="A336" t="s">
        <v>682</v>
      </c>
      <c r="B336" t="s">
        <v>332</v>
      </c>
      <c r="C336">
        <v>63</v>
      </c>
      <c r="D336" t="s">
        <v>12</v>
      </c>
      <c r="E336" s="5">
        <v>45354</v>
      </c>
      <c r="F336" s="5">
        <v>45362</v>
      </c>
      <c r="G336">
        <f t="shared" si="10"/>
        <v>8</v>
      </c>
      <c r="H336" t="s">
        <v>13</v>
      </c>
      <c r="I336" t="s">
        <v>111</v>
      </c>
      <c r="J336" s="2">
        <v>11856.84</v>
      </c>
      <c r="K336" s="6">
        <v>0.7</v>
      </c>
      <c r="L336" t="s">
        <v>20</v>
      </c>
      <c r="M336" s="3">
        <f t="shared" si="11"/>
        <v>0</v>
      </c>
      <c r="N336" s="9" t="str" cm="1">
        <f t="array" ref="N336">_xlfn.IFS(C336&lt;18,"Under 18",C336&lt;36,"18-35",C336&lt;51,"36-50",C336&lt;66,"51-65",C336&gt;=66,"Above 65")</f>
        <v>51-65</v>
      </c>
      <c r="O336" s="6"/>
    </row>
    <row r="337" spans="1:15" x14ac:dyDescent="0.35">
      <c r="A337" t="s">
        <v>683</v>
      </c>
      <c r="B337" t="s">
        <v>684</v>
      </c>
      <c r="C337">
        <v>45</v>
      </c>
      <c r="D337" t="s">
        <v>12</v>
      </c>
      <c r="E337" s="5">
        <v>45767</v>
      </c>
      <c r="F337" s="5">
        <v>45768</v>
      </c>
      <c r="G337">
        <f t="shared" si="10"/>
        <v>1</v>
      </c>
      <c r="H337" t="s">
        <v>23</v>
      </c>
      <c r="I337" t="s">
        <v>333</v>
      </c>
      <c r="J337" s="2">
        <v>1625.38</v>
      </c>
      <c r="K337" s="6">
        <v>0.8</v>
      </c>
      <c r="L337" t="s">
        <v>15</v>
      </c>
      <c r="M337" s="3">
        <f t="shared" si="11"/>
        <v>1625.38</v>
      </c>
      <c r="N337" s="9" t="str" cm="1">
        <f t="array" ref="N337">_xlfn.IFS(C337&lt;18,"Under 18",C337&lt;36,"18-35",C337&lt;51,"36-50",C337&lt;66,"51-65",C337&gt;=66,"Above 65")</f>
        <v>36-50</v>
      </c>
      <c r="O337" s="6"/>
    </row>
    <row r="338" spans="1:15" x14ac:dyDescent="0.35">
      <c r="A338" t="s">
        <v>685</v>
      </c>
      <c r="B338" t="s">
        <v>686</v>
      </c>
      <c r="C338">
        <v>71</v>
      </c>
      <c r="D338" t="s">
        <v>12</v>
      </c>
      <c r="E338" s="5">
        <v>45996</v>
      </c>
      <c r="F338" s="5">
        <v>46002</v>
      </c>
      <c r="G338">
        <f t="shared" si="10"/>
        <v>6</v>
      </c>
      <c r="H338" t="s">
        <v>13</v>
      </c>
      <c r="I338" t="s">
        <v>38</v>
      </c>
      <c r="J338" s="2">
        <v>10880.84</v>
      </c>
      <c r="K338" s="6">
        <v>0.8</v>
      </c>
      <c r="L338" t="s">
        <v>15</v>
      </c>
      <c r="M338" s="3">
        <f t="shared" si="11"/>
        <v>10880.84</v>
      </c>
      <c r="N338" s="9" t="str" cm="1">
        <f t="array" ref="N338">_xlfn.IFS(C338&lt;18,"Under 18",C338&lt;36,"18-35",C338&lt;51,"36-50",C338&lt;66,"51-65",C338&gt;=66,"Above 65")</f>
        <v>Above 65</v>
      </c>
      <c r="O338" s="6"/>
    </row>
    <row r="339" spans="1:15" x14ac:dyDescent="0.35">
      <c r="A339" t="s">
        <v>687</v>
      </c>
      <c r="B339" t="s">
        <v>267</v>
      </c>
      <c r="C339">
        <v>69</v>
      </c>
      <c r="D339" t="s">
        <v>12</v>
      </c>
      <c r="E339" s="5">
        <v>45940</v>
      </c>
      <c r="F339" s="5">
        <v>45941</v>
      </c>
      <c r="G339">
        <f t="shared" si="10"/>
        <v>1</v>
      </c>
      <c r="H339" t="s">
        <v>31</v>
      </c>
      <c r="I339" t="s">
        <v>114</v>
      </c>
      <c r="J339" s="2">
        <v>1151.51</v>
      </c>
      <c r="K339" s="6">
        <v>0.9</v>
      </c>
      <c r="L339" t="s">
        <v>20</v>
      </c>
      <c r="M339" s="3">
        <f t="shared" si="11"/>
        <v>0</v>
      </c>
      <c r="N339" s="9" t="str" cm="1">
        <f t="array" ref="N339">_xlfn.IFS(C339&lt;18,"Under 18",C339&lt;36,"18-35",C339&lt;51,"36-50",C339&lt;66,"51-65",C339&gt;=66,"Above 65")</f>
        <v>Above 65</v>
      </c>
      <c r="O339" s="6"/>
    </row>
    <row r="340" spans="1:15" x14ac:dyDescent="0.35">
      <c r="A340" t="s">
        <v>688</v>
      </c>
      <c r="B340" t="s">
        <v>139</v>
      </c>
      <c r="C340">
        <v>43</v>
      </c>
      <c r="D340" t="s">
        <v>18</v>
      </c>
      <c r="E340" s="5">
        <v>45434</v>
      </c>
      <c r="F340" s="5">
        <v>45441</v>
      </c>
      <c r="G340">
        <f t="shared" si="10"/>
        <v>7</v>
      </c>
      <c r="H340" t="s">
        <v>13</v>
      </c>
      <c r="I340" t="s">
        <v>38</v>
      </c>
      <c r="J340" s="2">
        <v>13660.38</v>
      </c>
      <c r="K340" s="6">
        <v>0.5</v>
      </c>
      <c r="L340" t="s">
        <v>20</v>
      </c>
      <c r="M340" s="3">
        <f t="shared" si="11"/>
        <v>0</v>
      </c>
      <c r="N340" s="9" t="str" cm="1">
        <f t="array" ref="N340">_xlfn.IFS(C340&lt;18,"Under 18",C340&lt;36,"18-35",C340&lt;51,"36-50",C340&lt;66,"51-65",C340&gt;=66,"Above 65")</f>
        <v>36-50</v>
      </c>
      <c r="O340" s="6"/>
    </row>
    <row r="341" spans="1:15" x14ac:dyDescent="0.35">
      <c r="A341" t="s">
        <v>689</v>
      </c>
      <c r="B341" t="s">
        <v>463</v>
      </c>
      <c r="C341">
        <v>21</v>
      </c>
      <c r="D341" t="s">
        <v>12</v>
      </c>
      <c r="E341" s="5">
        <v>45672</v>
      </c>
      <c r="F341" s="5">
        <v>45676</v>
      </c>
      <c r="G341">
        <f t="shared" si="10"/>
        <v>4</v>
      </c>
      <c r="H341" t="s">
        <v>31</v>
      </c>
      <c r="I341" t="s">
        <v>114</v>
      </c>
      <c r="J341" s="2">
        <v>5372.91</v>
      </c>
      <c r="K341" s="6">
        <v>0.9</v>
      </c>
      <c r="L341" t="s">
        <v>15</v>
      </c>
      <c r="M341" s="3">
        <f t="shared" si="11"/>
        <v>5372.91</v>
      </c>
      <c r="N341" s="9" t="str" cm="1">
        <f t="array" ref="N341">_xlfn.IFS(C341&lt;18,"Under 18",C341&lt;36,"18-35",C341&lt;51,"36-50",C341&lt;66,"51-65",C341&gt;=66,"Above 65")</f>
        <v>18-35</v>
      </c>
      <c r="O341" s="6"/>
    </row>
    <row r="342" spans="1:15" x14ac:dyDescent="0.35">
      <c r="A342" t="s">
        <v>690</v>
      </c>
      <c r="B342" t="s">
        <v>691</v>
      </c>
      <c r="C342">
        <v>16</v>
      </c>
      <c r="D342" t="s">
        <v>12</v>
      </c>
      <c r="E342" s="5">
        <v>45357</v>
      </c>
      <c r="F342" s="5">
        <v>45360</v>
      </c>
      <c r="G342">
        <f t="shared" si="10"/>
        <v>3</v>
      </c>
      <c r="H342" t="s">
        <v>49</v>
      </c>
      <c r="I342" t="s">
        <v>378</v>
      </c>
      <c r="J342" s="2">
        <v>5108.66</v>
      </c>
      <c r="K342" s="6">
        <v>0.8</v>
      </c>
      <c r="L342" t="s">
        <v>15</v>
      </c>
      <c r="M342" s="3">
        <f t="shared" si="11"/>
        <v>5108.66</v>
      </c>
      <c r="N342" s="9" t="str" cm="1">
        <f t="array" ref="N342">_xlfn.IFS(C342&lt;18,"Under 18",C342&lt;36,"18-35",C342&lt;51,"36-50",C342&lt;66,"51-65",C342&gt;=66,"Above 65")</f>
        <v>Under 18</v>
      </c>
      <c r="O342" s="6"/>
    </row>
    <row r="343" spans="1:15" x14ac:dyDescent="0.35">
      <c r="A343" t="s">
        <v>692</v>
      </c>
      <c r="B343" t="s">
        <v>693</v>
      </c>
      <c r="C343">
        <v>72</v>
      </c>
      <c r="D343" t="s">
        <v>18</v>
      </c>
      <c r="E343" s="5">
        <v>45778</v>
      </c>
      <c r="F343" s="5">
        <v>45781</v>
      </c>
      <c r="G343">
        <f t="shared" si="10"/>
        <v>3</v>
      </c>
      <c r="H343" t="s">
        <v>23</v>
      </c>
      <c r="I343" t="s">
        <v>221</v>
      </c>
      <c r="J343" s="2">
        <v>4730.3599999999997</v>
      </c>
      <c r="K343" s="6">
        <v>0.9</v>
      </c>
      <c r="L343" t="s">
        <v>15</v>
      </c>
      <c r="M343" s="3">
        <f t="shared" si="11"/>
        <v>4730.3599999999997</v>
      </c>
      <c r="N343" s="9" t="str" cm="1">
        <f t="array" ref="N343">_xlfn.IFS(C343&lt;18,"Under 18",C343&lt;36,"18-35",C343&lt;51,"36-50",C343&lt;66,"51-65",C343&gt;=66,"Above 65")</f>
        <v>Above 65</v>
      </c>
      <c r="O343" s="6"/>
    </row>
    <row r="344" spans="1:15" x14ac:dyDescent="0.35">
      <c r="A344" t="s">
        <v>694</v>
      </c>
      <c r="B344" t="s">
        <v>695</v>
      </c>
      <c r="C344">
        <v>57</v>
      </c>
      <c r="D344" t="s">
        <v>18</v>
      </c>
      <c r="E344" s="5">
        <v>45670</v>
      </c>
      <c r="F344" s="5">
        <v>45673</v>
      </c>
      <c r="G344">
        <f t="shared" si="10"/>
        <v>3</v>
      </c>
      <c r="H344" t="s">
        <v>31</v>
      </c>
      <c r="I344" t="s">
        <v>44</v>
      </c>
      <c r="J344" s="2">
        <v>4389.91</v>
      </c>
      <c r="K344" s="6">
        <v>0.8</v>
      </c>
      <c r="L344" t="s">
        <v>15</v>
      </c>
      <c r="M344" s="3">
        <f t="shared" si="11"/>
        <v>4389.91</v>
      </c>
      <c r="N344" s="9" t="str" cm="1">
        <f t="array" ref="N344">_xlfn.IFS(C344&lt;18,"Under 18",C344&lt;36,"18-35",C344&lt;51,"36-50",C344&lt;66,"51-65",C344&gt;=66,"Above 65")</f>
        <v>51-65</v>
      </c>
      <c r="O344" s="6"/>
    </row>
    <row r="345" spans="1:15" x14ac:dyDescent="0.35">
      <c r="A345" t="s">
        <v>696</v>
      </c>
      <c r="B345" t="s">
        <v>697</v>
      </c>
      <c r="C345">
        <v>39</v>
      </c>
      <c r="D345" t="s">
        <v>18</v>
      </c>
      <c r="E345" s="5">
        <v>45906</v>
      </c>
      <c r="F345" s="5">
        <v>45914</v>
      </c>
      <c r="G345">
        <f t="shared" si="10"/>
        <v>8</v>
      </c>
      <c r="H345" t="s">
        <v>60</v>
      </c>
      <c r="I345" t="s">
        <v>74</v>
      </c>
      <c r="J345" s="2">
        <v>8536.89</v>
      </c>
      <c r="K345" s="6">
        <v>0.8</v>
      </c>
      <c r="L345" t="s">
        <v>15</v>
      </c>
      <c r="M345" s="3">
        <f t="shared" si="11"/>
        <v>8536.89</v>
      </c>
      <c r="N345" s="9" t="str" cm="1">
        <f t="array" ref="N345">_xlfn.IFS(C345&lt;18,"Under 18",C345&lt;36,"18-35",C345&lt;51,"36-50",C345&lt;66,"51-65",C345&gt;=66,"Above 65")</f>
        <v>36-50</v>
      </c>
      <c r="O345" s="6"/>
    </row>
    <row r="346" spans="1:15" x14ac:dyDescent="0.35">
      <c r="A346" t="s">
        <v>698</v>
      </c>
      <c r="B346" t="s">
        <v>579</v>
      </c>
      <c r="C346">
        <v>12</v>
      </c>
      <c r="D346" t="s">
        <v>18</v>
      </c>
      <c r="E346" s="5">
        <v>45578</v>
      </c>
      <c r="F346" s="5">
        <v>45583</v>
      </c>
      <c r="G346">
        <f t="shared" si="10"/>
        <v>5</v>
      </c>
      <c r="H346" t="s">
        <v>49</v>
      </c>
      <c r="I346" t="s">
        <v>130</v>
      </c>
      <c r="J346" s="2">
        <v>3347.44</v>
      </c>
      <c r="K346" s="6">
        <v>0</v>
      </c>
      <c r="L346" t="s">
        <v>25</v>
      </c>
      <c r="M346" s="3">
        <f t="shared" si="11"/>
        <v>0</v>
      </c>
      <c r="N346" s="9" t="str" cm="1">
        <f t="array" ref="N346">_xlfn.IFS(C346&lt;18,"Under 18",C346&lt;36,"18-35",C346&lt;51,"36-50",C346&lt;66,"51-65",C346&gt;=66,"Above 65")</f>
        <v>Under 18</v>
      </c>
      <c r="O346" s="6"/>
    </row>
    <row r="347" spans="1:15" x14ac:dyDescent="0.35">
      <c r="A347" t="s">
        <v>699</v>
      </c>
      <c r="B347" t="s">
        <v>700</v>
      </c>
      <c r="C347">
        <v>57</v>
      </c>
      <c r="D347" t="s">
        <v>18</v>
      </c>
      <c r="E347" s="5">
        <v>45937</v>
      </c>
      <c r="F347" s="5">
        <v>45943</v>
      </c>
      <c r="G347">
        <f t="shared" si="10"/>
        <v>6</v>
      </c>
      <c r="H347" t="s">
        <v>13</v>
      </c>
      <c r="I347" t="s">
        <v>165</v>
      </c>
      <c r="J347" s="2">
        <v>15565.46</v>
      </c>
      <c r="K347" s="6">
        <v>0.7</v>
      </c>
      <c r="L347" t="s">
        <v>20</v>
      </c>
      <c r="M347" s="3">
        <f t="shared" si="11"/>
        <v>0</v>
      </c>
      <c r="N347" s="9" t="str" cm="1">
        <f t="array" ref="N347">_xlfn.IFS(C347&lt;18,"Under 18",C347&lt;36,"18-35",C347&lt;51,"36-50",C347&lt;66,"51-65",C347&gt;=66,"Above 65")</f>
        <v>51-65</v>
      </c>
      <c r="O347" s="6"/>
    </row>
    <row r="348" spans="1:15" x14ac:dyDescent="0.35">
      <c r="A348" t="s">
        <v>701</v>
      </c>
      <c r="B348" t="s">
        <v>702</v>
      </c>
      <c r="C348">
        <v>52</v>
      </c>
      <c r="D348" t="s">
        <v>12</v>
      </c>
      <c r="E348" s="5">
        <v>45979</v>
      </c>
      <c r="F348" s="5">
        <v>45986</v>
      </c>
      <c r="G348">
        <f t="shared" si="10"/>
        <v>7</v>
      </c>
      <c r="H348" t="s">
        <v>31</v>
      </c>
      <c r="I348" t="s">
        <v>114</v>
      </c>
      <c r="J348" s="2">
        <v>4507.1400000000003</v>
      </c>
      <c r="K348" s="6">
        <v>0.8</v>
      </c>
      <c r="L348" t="s">
        <v>25</v>
      </c>
      <c r="M348" s="3">
        <f t="shared" si="11"/>
        <v>0</v>
      </c>
      <c r="N348" s="9" t="str" cm="1">
        <f t="array" ref="N348">_xlfn.IFS(C348&lt;18,"Under 18",C348&lt;36,"18-35",C348&lt;51,"36-50",C348&lt;66,"51-65",C348&gt;=66,"Above 65")</f>
        <v>51-65</v>
      </c>
      <c r="O348" s="6"/>
    </row>
    <row r="349" spans="1:15" x14ac:dyDescent="0.35">
      <c r="A349" t="s">
        <v>703</v>
      </c>
      <c r="B349" t="s">
        <v>704</v>
      </c>
      <c r="C349">
        <v>62</v>
      </c>
      <c r="D349" t="s">
        <v>12</v>
      </c>
      <c r="E349" s="5">
        <v>45848</v>
      </c>
      <c r="F349" s="5">
        <v>45855</v>
      </c>
      <c r="G349">
        <f t="shared" si="10"/>
        <v>7</v>
      </c>
      <c r="H349" t="s">
        <v>13</v>
      </c>
      <c r="I349" t="s">
        <v>14</v>
      </c>
      <c r="J349" s="2">
        <v>10788.07</v>
      </c>
      <c r="K349" s="6">
        <v>0.7</v>
      </c>
      <c r="L349" t="s">
        <v>20</v>
      </c>
      <c r="M349" s="3">
        <f t="shared" si="11"/>
        <v>0</v>
      </c>
      <c r="N349" s="9" t="str" cm="1">
        <f t="array" ref="N349">_xlfn.IFS(C349&lt;18,"Under 18",C349&lt;36,"18-35",C349&lt;51,"36-50",C349&lt;66,"51-65",C349&gt;=66,"Above 65")</f>
        <v>51-65</v>
      </c>
      <c r="O349" s="6"/>
    </row>
    <row r="350" spans="1:15" x14ac:dyDescent="0.35">
      <c r="A350" t="s">
        <v>705</v>
      </c>
      <c r="B350" t="s">
        <v>706</v>
      </c>
      <c r="C350">
        <v>46</v>
      </c>
      <c r="D350" t="s">
        <v>12</v>
      </c>
      <c r="E350" s="5">
        <v>45431</v>
      </c>
      <c r="F350" s="5">
        <v>45440</v>
      </c>
      <c r="G350">
        <f t="shared" si="10"/>
        <v>9</v>
      </c>
      <c r="H350" t="s">
        <v>13</v>
      </c>
      <c r="I350" t="s">
        <v>19</v>
      </c>
      <c r="J350" s="2">
        <v>26034.080000000002</v>
      </c>
      <c r="K350" s="6">
        <v>0.8</v>
      </c>
      <c r="L350" t="s">
        <v>15</v>
      </c>
      <c r="M350" s="3">
        <f t="shared" si="11"/>
        <v>26034.080000000002</v>
      </c>
      <c r="N350" s="9" t="str" cm="1">
        <f t="array" ref="N350">_xlfn.IFS(C350&lt;18,"Under 18",C350&lt;36,"18-35",C350&lt;51,"36-50",C350&lt;66,"51-65",C350&gt;=66,"Above 65")</f>
        <v>36-50</v>
      </c>
      <c r="O350" s="6"/>
    </row>
    <row r="351" spans="1:15" x14ac:dyDescent="0.35">
      <c r="A351" t="s">
        <v>707</v>
      </c>
      <c r="B351" t="s">
        <v>708</v>
      </c>
      <c r="C351">
        <v>44</v>
      </c>
      <c r="D351" t="s">
        <v>12</v>
      </c>
      <c r="E351" s="5">
        <v>45525</v>
      </c>
      <c r="F351" s="5">
        <v>45533</v>
      </c>
      <c r="G351">
        <f t="shared" si="10"/>
        <v>8</v>
      </c>
      <c r="H351" t="s">
        <v>13</v>
      </c>
      <c r="I351" t="s">
        <v>111</v>
      </c>
      <c r="J351" s="2">
        <v>10409.19</v>
      </c>
      <c r="K351" s="6">
        <v>0.9</v>
      </c>
      <c r="L351" t="s">
        <v>25</v>
      </c>
      <c r="M351" s="3">
        <f t="shared" si="11"/>
        <v>0</v>
      </c>
      <c r="N351" s="9" t="str" cm="1">
        <f t="array" ref="N351">_xlfn.IFS(C351&lt;18,"Under 18",C351&lt;36,"18-35",C351&lt;51,"36-50",C351&lt;66,"51-65",C351&gt;=66,"Above 65")</f>
        <v>36-50</v>
      </c>
      <c r="O351" s="6"/>
    </row>
    <row r="352" spans="1:15" x14ac:dyDescent="0.35">
      <c r="A352" t="s">
        <v>709</v>
      </c>
      <c r="B352" t="s">
        <v>710</v>
      </c>
      <c r="C352">
        <v>62</v>
      </c>
      <c r="D352" t="s">
        <v>18</v>
      </c>
      <c r="E352" s="5">
        <v>45506</v>
      </c>
      <c r="F352" s="5">
        <v>45507</v>
      </c>
      <c r="G352">
        <f t="shared" si="10"/>
        <v>1</v>
      </c>
      <c r="H352" t="s">
        <v>23</v>
      </c>
      <c r="I352" t="s">
        <v>333</v>
      </c>
      <c r="J352" s="2">
        <v>1428.8</v>
      </c>
      <c r="K352" s="6">
        <v>0.8</v>
      </c>
      <c r="L352" t="s">
        <v>20</v>
      </c>
      <c r="M352" s="3">
        <f t="shared" si="11"/>
        <v>0</v>
      </c>
      <c r="N352" s="9" t="str" cm="1">
        <f t="array" ref="N352">_xlfn.IFS(C352&lt;18,"Under 18",C352&lt;36,"18-35",C352&lt;51,"36-50",C352&lt;66,"51-65",C352&gt;=66,"Above 65")</f>
        <v>51-65</v>
      </c>
      <c r="O352" s="6"/>
    </row>
    <row r="353" spans="1:15" x14ac:dyDescent="0.35">
      <c r="A353" t="s">
        <v>711</v>
      </c>
      <c r="B353" t="s">
        <v>712</v>
      </c>
      <c r="C353">
        <v>73</v>
      </c>
      <c r="D353" t="s">
        <v>18</v>
      </c>
      <c r="E353" s="5">
        <v>45799</v>
      </c>
      <c r="F353" s="5">
        <v>45802</v>
      </c>
      <c r="G353">
        <f t="shared" si="10"/>
        <v>3</v>
      </c>
      <c r="H353" t="s">
        <v>23</v>
      </c>
      <c r="I353" t="s">
        <v>204</v>
      </c>
      <c r="J353" s="2">
        <v>6491.42</v>
      </c>
      <c r="K353" s="6">
        <v>0</v>
      </c>
      <c r="L353" t="s">
        <v>25</v>
      </c>
      <c r="M353" s="3">
        <f t="shared" si="11"/>
        <v>0</v>
      </c>
      <c r="N353" s="9" t="str" cm="1">
        <f t="array" ref="N353">_xlfn.IFS(C353&lt;18,"Under 18",C353&lt;36,"18-35",C353&lt;51,"36-50",C353&lt;66,"51-65",C353&gt;=66,"Above 65")</f>
        <v>Above 65</v>
      </c>
      <c r="O353" s="6"/>
    </row>
    <row r="354" spans="1:15" x14ac:dyDescent="0.35">
      <c r="A354" t="s">
        <v>713</v>
      </c>
      <c r="B354" t="s">
        <v>714</v>
      </c>
      <c r="C354">
        <v>80</v>
      </c>
      <c r="D354" t="s">
        <v>18</v>
      </c>
      <c r="E354" s="5">
        <v>45736</v>
      </c>
      <c r="F354" s="5">
        <v>45739</v>
      </c>
      <c r="G354">
        <f t="shared" si="10"/>
        <v>3</v>
      </c>
      <c r="H354" t="s">
        <v>23</v>
      </c>
      <c r="I354" t="s">
        <v>221</v>
      </c>
      <c r="J354" s="2">
        <v>2816.11</v>
      </c>
      <c r="K354" s="6">
        <v>0.8</v>
      </c>
      <c r="L354" t="s">
        <v>25</v>
      </c>
      <c r="M354" s="3">
        <f t="shared" si="11"/>
        <v>0</v>
      </c>
      <c r="N354" s="9" t="str" cm="1">
        <f t="array" ref="N354">_xlfn.IFS(C354&lt;18,"Under 18",C354&lt;36,"18-35",C354&lt;51,"36-50",C354&lt;66,"51-65",C354&gt;=66,"Above 65")</f>
        <v>Above 65</v>
      </c>
      <c r="O354" s="6"/>
    </row>
    <row r="355" spans="1:15" x14ac:dyDescent="0.35">
      <c r="A355" t="s">
        <v>715</v>
      </c>
      <c r="B355" t="s">
        <v>196</v>
      </c>
      <c r="C355">
        <v>12</v>
      </c>
      <c r="D355" t="s">
        <v>12</v>
      </c>
      <c r="E355" s="5">
        <v>45989</v>
      </c>
      <c r="F355" s="5">
        <v>45994</v>
      </c>
      <c r="G355">
        <f t="shared" si="10"/>
        <v>5</v>
      </c>
      <c r="H355" t="s">
        <v>49</v>
      </c>
      <c r="I355" t="s">
        <v>120</v>
      </c>
      <c r="J355" s="2">
        <v>6337.74</v>
      </c>
      <c r="K355" s="6">
        <v>0.6</v>
      </c>
      <c r="L355" t="s">
        <v>20</v>
      </c>
      <c r="M355" s="3">
        <f t="shared" si="11"/>
        <v>0</v>
      </c>
      <c r="N355" s="9" t="str" cm="1">
        <f t="array" ref="N355">_xlfn.IFS(C355&lt;18,"Under 18",C355&lt;36,"18-35",C355&lt;51,"36-50",C355&lt;66,"51-65",C355&gt;=66,"Above 65")</f>
        <v>Under 18</v>
      </c>
      <c r="O355" s="6"/>
    </row>
    <row r="356" spans="1:15" x14ac:dyDescent="0.35">
      <c r="A356" t="s">
        <v>716</v>
      </c>
      <c r="B356" t="s">
        <v>717</v>
      </c>
      <c r="C356">
        <v>48</v>
      </c>
      <c r="D356" t="s">
        <v>18</v>
      </c>
      <c r="E356" s="5">
        <v>45398</v>
      </c>
      <c r="F356" s="5">
        <v>45405</v>
      </c>
      <c r="G356">
        <f t="shared" si="10"/>
        <v>7</v>
      </c>
      <c r="H356" t="s">
        <v>31</v>
      </c>
      <c r="I356" t="s">
        <v>87</v>
      </c>
      <c r="J356" s="2">
        <v>8162.88</v>
      </c>
      <c r="K356" s="6">
        <v>0.6</v>
      </c>
      <c r="L356" t="s">
        <v>15</v>
      </c>
      <c r="M356" s="3">
        <f t="shared" si="11"/>
        <v>8162.88</v>
      </c>
      <c r="N356" s="9" t="str" cm="1">
        <f t="array" ref="N356">_xlfn.IFS(C356&lt;18,"Under 18",C356&lt;36,"18-35",C356&lt;51,"36-50",C356&lt;66,"51-65",C356&gt;=66,"Above 65")</f>
        <v>36-50</v>
      </c>
      <c r="O356" s="6"/>
    </row>
    <row r="357" spans="1:15" x14ac:dyDescent="0.35">
      <c r="A357" t="s">
        <v>718</v>
      </c>
      <c r="B357" t="s">
        <v>719</v>
      </c>
      <c r="C357">
        <v>69</v>
      </c>
      <c r="D357" t="s">
        <v>12</v>
      </c>
      <c r="E357" s="5">
        <v>45706</v>
      </c>
      <c r="F357" s="5">
        <v>45708</v>
      </c>
      <c r="G357">
        <f t="shared" si="10"/>
        <v>2</v>
      </c>
      <c r="H357" t="s">
        <v>31</v>
      </c>
      <c r="I357" t="s">
        <v>35</v>
      </c>
      <c r="J357" s="2">
        <v>2495.13</v>
      </c>
      <c r="K357" s="6">
        <v>0.7</v>
      </c>
      <c r="L357" t="s">
        <v>15</v>
      </c>
      <c r="M357" s="3">
        <f t="shared" si="11"/>
        <v>2495.13</v>
      </c>
      <c r="N357" s="9" t="str" cm="1">
        <f t="array" ref="N357">_xlfn.IFS(C357&lt;18,"Under 18",C357&lt;36,"18-35",C357&lt;51,"36-50",C357&lt;66,"51-65",C357&gt;=66,"Above 65")</f>
        <v>Above 65</v>
      </c>
      <c r="O357" s="6"/>
    </row>
    <row r="358" spans="1:15" x14ac:dyDescent="0.35">
      <c r="A358" t="s">
        <v>720</v>
      </c>
      <c r="B358" t="s">
        <v>721</v>
      </c>
      <c r="C358">
        <v>16</v>
      </c>
      <c r="D358" t="s">
        <v>18</v>
      </c>
      <c r="E358" s="5">
        <v>45454</v>
      </c>
      <c r="F358" s="5">
        <v>45455</v>
      </c>
      <c r="G358">
        <f t="shared" si="10"/>
        <v>1</v>
      </c>
      <c r="H358" t="s">
        <v>49</v>
      </c>
      <c r="I358" t="s">
        <v>120</v>
      </c>
      <c r="J358" s="2">
        <v>1054.1400000000001</v>
      </c>
      <c r="K358" s="6">
        <v>0.5</v>
      </c>
      <c r="L358" t="s">
        <v>20</v>
      </c>
      <c r="M358" s="3">
        <f t="shared" si="11"/>
        <v>0</v>
      </c>
      <c r="N358" s="9" t="str" cm="1">
        <f t="array" ref="N358">_xlfn.IFS(C358&lt;18,"Under 18",C358&lt;36,"18-35",C358&lt;51,"36-50",C358&lt;66,"51-65",C358&gt;=66,"Above 65")</f>
        <v>Under 18</v>
      </c>
      <c r="O358" s="6"/>
    </row>
    <row r="359" spans="1:15" x14ac:dyDescent="0.35">
      <c r="A359" t="s">
        <v>722</v>
      </c>
      <c r="B359" t="s">
        <v>723</v>
      </c>
      <c r="C359">
        <v>73</v>
      </c>
      <c r="D359" t="s">
        <v>18</v>
      </c>
      <c r="E359" s="5">
        <v>45746</v>
      </c>
      <c r="F359" s="5">
        <v>45747</v>
      </c>
      <c r="G359">
        <f t="shared" si="10"/>
        <v>1</v>
      </c>
      <c r="H359" t="s">
        <v>23</v>
      </c>
      <c r="I359" t="s">
        <v>82</v>
      </c>
      <c r="J359" s="2">
        <v>1251.25</v>
      </c>
      <c r="K359" s="6">
        <v>0.8</v>
      </c>
      <c r="L359" t="s">
        <v>15</v>
      </c>
      <c r="M359" s="3">
        <f t="shared" si="11"/>
        <v>1251.25</v>
      </c>
      <c r="N359" s="9" t="str" cm="1">
        <f t="array" ref="N359">_xlfn.IFS(C359&lt;18,"Under 18",C359&lt;36,"18-35",C359&lt;51,"36-50",C359&lt;66,"51-65",C359&gt;=66,"Above 65")</f>
        <v>Above 65</v>
      </c>
      <c r="O359" s="6"/>
    </row>
    <row r="360" spans="1:15" x14ac:dyDescent="0.35">
      <c r="A360" t="s">
        <v>724</v>
      </c>
      <c r="B360" t="s">
        <v>725</v>
      </c>
      <c r="C360">
        <v>53</v>
      </c>
      <c r="D360" t="s">
        <v>12</v>
      </c>
      <c r="E360" s="5">
        <v>45736</v>
      </c>
      <c r="F360" s="5">
        <v>45742</v>
      </c>
      <c r="G360">
        <f t="shared" si="10"/>
        <v>6</v>
      </c>
      <c r="H360" t="s">
        <v>13</v>
      </c>
      <c r="I360" t="s">
        <v>111</v>
      </c>
      <c r="J360" s="2">
        <v>16598.080000000002</v>
      </c>
      <c r="K360" s="6">
        <v>0.8</v>
      </c>
      <c r="L360" t="s">
        <v>15</v>
      </c>
      <c r="M360" s="3">
        <f t="shared" si="11"/>
        <v>16598.080000000002</v>
      </c>
      <c r="N360" s="9" t="str" cm="1">
        <f t="array" ref="N360">_xlfn.IFS(C360&lt;18,"Under 18",C360&lt;36,"18-35",C360&lt;51,"36-50",C360&lt;66,"51-65",C360&gt;=66,"Above 65")</f>
        <v>51-65</v>
      </c>
      <c r="O360" s="6"/>
    </row>
    <row r="361" spans="1:15" x14ac:dyDescent="0.35">
      <c r="A361" t="s">
        <v>726</v>
      </c>
      <c r="B361" t="s">
        <v>727</v>
      </c>
      <c r="C361">
        <v>46</v>
      </c>
      <c r="D361" t="s">
        <v>18</v>
      </c>
      <c r="E361" s="5">
        <v>45569</v>
      </c>
      <c r="F361" s="5">
        <v>45573</v>
      </c>
      <c r="G361">
        <f t="shared" si="10"/>
        <v>4</v>
      </c>
      <c r="H361" t="s">
        <v>31</v>
      </c>
      <c r="I361" t="s">
        <v>234</v>
      </c>
      <c r="J361" s="2">
        <v>4875.57</v>
      </c>
      <c r="K361" s="6">
        <v>0.9</v>
      </c>
      <c r="L361" t="s">
        <v>15</v>
      </c>
      <c r="M361" s="3">
        <f t="shared" si="11"/>
        <v>4875.57</v>
      </c>
      <c r="N361" s="9" t="str" cm="1">
        <f t="array" ref="N361">_xlfn.IFS(C361&lt;18,"Under 18",C361&lt;36,"18-35",C361&lt;51,"36-50",C361&lt;66,"51-65",C361&gt;=66,"Above 65")</f>
        <v>36-50</v>
      </c>
      <c r="O361" s="6"/>
    </row>
    <row r="362" spans="1:15" x14ac:dyDescent="0.35">
      <c r="A362" t="s">
        <v>728</v>
      </c>
      <c r="B362" t="s">
        <v>729</v>
      </c>
      <c r="C362">
        <v>53</v>
      </c>
      <c r="D362" t="s">
        <v>12</v>
      </c>
      <c r="E362" s="5">
        <v>45993</v>
      </c>
      <c r="F362" s="5">
        <v>45998</v>
      </c>
      <c r="G362">
        <f t="shared" si="10"/>
        <v>5</v>
      </c>
      <c r="H362" t="s">
        <v>70</v>
      </c>
      <c r="I362" t="s">
        <v>237</v>
      </c>
      <c r="J362" s="2">
        <v>12181.3</v>
      </c>
      <c r="K362" s="6">
        <v>0.5</v>
      </c>
      <c r="L362" t="s">
        <v>15</v>
      </c>
      <c r="M362" s="3">
        <f t="shared" si="11"/>
        <v>12181.3</v>
      </c>
      <c r="N362" s="9" t="str" cm="1">
        <f t="array" ref="N362">_xlfn.IFS(C362&lt;18,"Under 18",C362&lt;36,"18-35",C362&lt;51,"36-50",C362&lt;66,"51-65",C362&gt;=66,"Above 65")</f>
        <v>51-65</v>
      </c>
      <c r="O362" s="6"/>
    </row>
    <row r="363" spans="1:15" x14ac:dyDescent="0.35">
      <c r="A363" t="s">
        <v>730</v>
      </c>
      <c r="B363" t="s">
        <v>731</v>
      </c>
      <c r="C363">
        <v>59</v>
      </c>
      <c r="D363" t="s">
        <v>12</v>
      </c>
      <c r="E363" s="5">
        <v>45862</v>
      </c>
      <c r="F363" s="5">
        <v>45863</v>
      </c>
      <c r="G363">
        <f t="shared" si="10"/>
        <v>1</v>
      </c>
      <c r="H363" t="s">
        <v>23</v>
      </c>
      <c r="I363" t="s">
        <v>204</v>
      </c>
      <c r="J363" s="2">
        <v>2262.27</v>
      </c>
      <c r="K363" s="6">
        <v>1</v>
      </c>
      <c r="L363" t="s">
        <v>15</v>
      </c>
      <c r="M363" s="3">
        <f t="shared" si="11"/>
        <v>2262.27</v>
      </c>
      <c r="N363" s="9" t="str" cm="1">
        <f t="array" ref="N363">_xlfn.IFS(C363&lt;18,"Under 18",C363&lt;36,"18-35",C363&lt;51,"36-50",C363&lt;66,"51-65",C363&gt;=66,"Above 65")</f>
        <v>51-65</v>
      </c>
      <c r="O363" s="6"/>
    </row>
    <row r="364" spans="1:15" x14ac:dyDescent="0.35">
      <c r="A364" t="s">
        <v>732</v>
      </c>
      <c r="B364" t="s">
        <v>733</v>
      </c>
      <c r="C364">
        <v>77</v>
      </c>
      <c r="D364" t="s">
        <v>12</v>
      </c>
      <c r="E364" s="5">
        <v>45787</v>
      </c>
      <c r="F364" s="5">
        <v>45793</v>
      </c>
      <c r="G364">
        <f t="shared" si="10"/>
        <v>6</v>
      </c>
      <c r="H364" t="s">
        <v>70</v>
      </c>
      <c r="I364" t="s">
        <v>157</v>
      </c>
      <c r="J364" s="2">
        <v>15249.23</v>
      </c>
      <c r="K364" s="6">
        <v>0.6</v>
      </c>
      <c r="L364" t="s">
        <v>15</v>
      </c>
      <c r="M364" s="3">
        <f t="shared" si="11"/>
        <v>15249.23</v>
      </c>
      <c r="N364" s="9" t="str" cm="1">
        <f t="array" ref="N364">_xlfn.IFS(C364&lt;18,"Under 18",C364&lt;36,"18-35",C364&lt;51,"36-50",C364&lt;66,"51-65",C364&gt;=66,"Above 65")</f>
        <v>Above 65</v>
      </c>
      <c r="O364" s="6"/>
    </row>
    <row r="365" spans="1:15" x14ac:dyDescent="0.35">
      <c r="A365" t="s">
        <v>734</v>
      </c>
      <c r="B365" t="s">
        <v>735</v>
      </c>
      <c r="C365">
        <v>21</v>
      </c>
      <c r="D365" t="s">
        <v>18</v>
      </c>
      <c r="E365" s="5">
        <v>45325</v>
      </c>
      <c r="F365" s="5">
        <v>45328</v>
      </c>
      <c r="G365">
        <f t="shared" si="10"/>
        <v>3</v>
      </c>
      <c r="H365" t="s">
        <v>31</v>
      </c>
      <c r="I365" t="s">
        <v>87</v>
      </c>
      <c r="J365" s="2">
        <v>3947.95</v>
      </c>
      <c r="K365" s="6">
        <v>0.8</v>
      </c>
      <c r="L365" t="s">
        <v>15</v>
      </c>
      <c r="M365" s="3">
        <f t="shared" si="11"/>
        <v>3947.95</v>
      </c>
      <c r="N365" s="9" t="str" cm="1">
        <f t="array" ref="N365">_xlfn.IFS(C365&lt;18,"Under 18",C365&lt;36,"18-35",C365&lt;51,"36-50",C365&lt;66,"51-65",C365&gt;=66,"Above 65")</f>
        <v>18-35</v>
      </c>
      <c r="O365" s="6"/>
    </row>
    <row r="366" spans="1:15" x14ac:dyDescent="0.35">
      <c r="A366" t="s">
        <v>736</v>
      </c>
      <c r="B366" t="s">
        <v>737</v>
      </c>
      <c r="C366">
        <v>59</v>
      </c>
      <c r="D366" t="s">
        <v>12</v>
      </c>
      <c r="E366" s="5">
        <v>45592</v>
      </c>
      <c r="F366" s="5">
        <v>45605</v>
      </c>
      <c r="G366">
        <f t="shared" si="10"/>
        <v>13</v>
      </c>
      <c r="H366" t="s">
        <v>60</v>
      </c>
      <c r="I366" t="s">
        <v>61</v>
      </c>
      <c r="J366" s="2">
        <v>35549.129999999997</v>
      </c>
      <c r="K366" s="6">
        <v>1</v>
      </c>
      <c r="L366" t="s">
        <v>20</v>
      </c>
      <c r="M366" s="3">
        <f t="shared" si="11"/>
        <v>0</v>
      </c>
      <c r="N366" s="9" t="str" cm="1">
        <f t="array" ref="N366">_xlfn.IFS(C366&lt;18,"Under 18",C366&lt;36,"18-35",C366&lt;51,"36-50",C366&lt;66,"51-65",C366&gt;=66,"Above 65")</f>
        <v>51-65</v>
      </c>
      <c r="O366" s="6"/>
    </row>
    <row r="367" spans="1:15" x14ac:dyDescent="0.35">
      <c r="A367" t="s">
        <v>738</v>
      </c>
      <c r="B367" t="s">
        <v>739</v>
      </c>
      <c r="C367">
        <v>2</v>
      </c>
      <c r="D367" t="s">
        <v>12</v>
      </c>
      <c r="E367" s="5">
        <v>45692</v>
      </c>
      <c r="F367" s="5">
        <v>45696</v>
      </c>
      <c r="G367">
        <f t="shared" si="10"/>
        <v>4</v>
      </c>
      <c r="H367" t="s">
        <v>49</v>
      </c>
      <c r="I367" t="s">
        <v>120</v>
      </c>
      <c r="J367" s="2">
        <v>7038.14</v>
      </c>
      <c r="K367" s="6">
        <v>0.7</v>
      </c>
      <c r="L367" t="s">
        <v>25</v>
      </c>
      <c r="M367" s="3">
        <f t="shared" si="11"/>
        <v>0</v>
      </c>
      <c r="N367" s="9" t="str" cm="1">
        <f t="array" ref="N367">_xlfn.IFS(C367&lt;18,"Under 18",C367&lt;36,"18-35",C367&lt;51,"36-50",C367&lt;66,"51-65",C367&gt;=66,"Above 65")</f>
        <v>Under 18</v>
      </c>
      <c r="O367" s="6"/>
    </row>
    <row r="368" spans="1:15" x14ac:dyDescent="0.35">
      <c r="A368" t="s">
        <v>740</v>
      </c>
      <c r="B368" t="s">
        <v>741</v>
      </c>
      <c r="C368">
        <v>77</v>
      </c>
      <c r="D368" t="s">
        <v>12</v>
      </c>
      <c r="E368" s="5">
        <v>45971</v>
      </c>
      <c r="F368" s="5">
        <v>45980</v>
      </c>
      <c r="G368">
        <f t="shared" si="10"/>
        <v>9</v>
      </c>
      <c r="H368" t="s">
        <v>13</v>
      </c>
      <c r="I368" t="s">
        <v>165</v>
      </c>
      <c r="J368" s="2">
        <v>14877.84</v>
      </c>
      <c r="K368" s="6">
        <v>1</v>
      </c>
      <c r="L368" t="s">
        <v>20</v>
      </c>
      <c r="M368" s="3">
        <f t="shared" si="11"/>
        <v>0</v>
      </c>
      <c r="N368" s="9" t="str" cm="1">
        <f t="array" ref="N368">_xlfn.IFS(C368&lt;18,"Under 18",C368&lt;36,"18-35",C368&lt;51,"36-50",C368&lt;66,"51-65",C368&gt;=66,"Above 65")</f>
        <v>Above 65</v>
      </c>
      <c r="O368" s="6"/>
    </row>
    <row r="369" spans="1:15" x14ac:dyDescent="0.35">
      <c r="A369" t="s">
        <v>742</v>
      </c>
      <c r="B369" t="s">
        <v>146</v>
      </c>
      <c r="C369">
        <v>30</v>
      </c>
      <c r="D369" t="s">
        <v>12</v>
      </c>
      <c r="E369" s="5">
        <v>45845</v>
      </c>
      <c r="F369" s="5">
        <v>45856</v>
      </c>
      <c r="G369">
        <f t="shared" si="10"/>
        <v>11</v>
      </c>
      <c r="H369" t="s">
        <v>60</v>
      </c>
      <c r="I369" t="s">
        <v>61</v>
      </c>
      <c r="J369" s="2">
        <v>14678.51</v>
      </c>
      <c r="K369" s="6">
        <v>0.6</v>
      </c>
      <c r="L369" t="s">
        <v>20</v>
      </c>
      <c r="M369" s="3">
        <f t="shared" si="11"/>
        <v>0</v>
      </c>
      <c r="N369" s="9" t="str" cm="1">
        <f t="array" ref="N369">_xlfn.IFS(C369&lt;18,"Under 18",C369&lt;36,"18-35",C369&lt;51,"36-50",C369&lt;66,"51-65",C369&gt;=66,"Above 65")</f>
        <v>18-35</v>
      </c>
      <c r="O369" s="6"/>
    </row>
    <row r="370" spans="1:15" x14ac:dyDescent="0.35">
      <c r="A370" t="s">
        <v>743</v>
      </c>
      <c r="B370" t="s">
        <v>744</v>
      </c>
      <c r="C370">
        <v>42</v>
      </c>
      <c r="D370" t="s">
        <v>12</v>
      </c>
      <c r="E370" s="5">
        <v>46002</v>
      </c>
      <c r="F370" s="5">
        <v>46004</v>
      </c>
      <c r="G370">
        <f t="shared" si="10"/>
        <v>2</v>
      </c>
      <c r="H370" t="s">
        <v>23</v>
      </c>
      <c r="I370" t="s">
        <v>204</v>
      </c>
      <c r="J370" s="2">
        <v>3466.32</v>
      </c>
      <c r="K370" s="6">
        <v>0.7</v>
      </c>
      <c r="L370" t="s">
        <v>15</v>
      </c>
      <c r="M370" s="3">
        <f t="shared" si="11"/>
        <v>3466.32</v>
      </c>
      <c r="N370" s="9" t="str" cm="1">
        <f t="array" ref="N370">_xlfn.IFS(C370&lt;18,"Under 18",C370&lt;36,"18-35",C370&lt;51,"36-50",C370&lt;66,"51-65",C370&gt;=66,"Above 65")</f>
        <v>36-50</v>
      </c>
      <c r="O370" s="6"/>
    </row>
    <row r="371" spans="1:15" x14ac:dyDescent="0.35">
      <c r="A371" t="s">
        <v>745</v>
      </c>
      <c r="B371" t="s">
        <v>746</v>
      </c>
      <c r="C371">
        <v>59</v>
      </c>
      <c r="D371" t="s">
        <v>12</v>
      </c>
      <c r="E371" s="5">
        <v>45530</v>
      </c>
      <c r="F371" s="5">
        <v>45544</v>
      </c>
      <c r="G371">
        <f t="shared" si="10"/>
        <v>14</v>
      </c>
      <c r="H371" t="s">
        <v>60</v>
      </c>
      <c r="I371" t="s">
        <v>97</v>
      </c>
      <c r="J371" s="2">
        <v>21123.25</v>
      </c>
      <c r="K371" s="6">
        <v>0.8</v>
      </c>
      <c r="L371" t="s">
        <v>15</v>
      </c>
      <c r="M371" s="3">
        <f t="shared" si="11"/>
        <v>21123.25</v>
      </c>
      <c r="N371" s="9" t="str" cm="1">
        <f t="array" ref="N371">_xlfn.IFS(C371&lt;18,"Under 18",C371&lt;36,"18-35",C371&lt;51,"36-50",C371&lt;66,"51-65",C371&gt;=66,"Above 65")</f>
        <v>51-65</v>
      </c>
      <c r="O371" s="6"/>
    </row>
    <row r="372" spans="1:15" x14ac:dyDescent="0.35">
      <c r="A372" t="s">
        <v>747</v>
      </c>
      <c r="B372" t="s">
        <v>748</v>
      </c>
      <c r="C372">
        <v>7</v>
      </c>
      <c r="D372" t="s">
        <v>12</v>
      </c>
      <c r="E372" s="5">
        <v>45729</v>
      </c>
      <c r="F372" s="5">
        <v>45734</v>
      </c>
      <c r="G372">
        <f t="shared" si="10"/>
        <v>5</v>
      </c>
      <c r="H372" t="s">
        <v>49</v>
      </c>
      <c r="I372" t="s">
        <v>117</v>
      </c>
      <c r="J372" s="2">
        <v>5585.79</v>
      </c>
      <c r="K372" s="6">
        <v>0</v>
      </c>
      <c r="L372" t="s">
        <v>25</v>
      </c>
      <c r="M372" s="3">
        <f t="shared" si="11"/>
        <v>0</v>
      </c>
      <c r="N372" s="9" t="str" cm="1">
        <f t="array" ref="N372">_xlfn.IFS(C372&lt;18,"Under 18",C372&lt;36,"18-35",C372&lt;51,"36-50",C372&lt;66,"51-65",C372&gt;=66,"Above 65")</f>
        <v>Under 18</v>
      </c>
      <c r="O372" s="6"/>
    </row>
    <row r="373" spans="1:15" x14ac:dyDescent="0.35">
      <c r="A373" t="s">
        <v>749</v>
      </c>
      <c r="B373" t="s">
        <v>750</v>
      </c>
      <c r="C373">
        <v>37</v>
      </c>
      <c r="D373" t="s">
        <v>18</v>
      </c>
      <c r="E373" s="5">
        <v>45548</v>
      </c>
      <c r="F373" s="5">
        <v>45553</v>
      </c>
      <c r="G373">
        <f t="shared" si="10"/>
        <v>5</v>
      </c>
      <c r="H373" t="s">
        <v>31</v>
      </c>
      <c r="I373" t="s">
        <v>87</v>
      </c>
      <c r="J373" s="2">
        <v>6953.83</v>
      </c>
      <c r="K373" s="6">
        <v>0.9</v>
      </c>
      <c r="L373" t="s">
        <v>20</v>
      </c>
      <c r="M373" s="3">
        <f t="shared" si="11"/>
        <v>0</v>
      </c>
      <c r="N373" s="9" t="str" cm="1">
        <f t="array" ref="N373">_xlfn.IFS(C373&lt;18,"Under 18",C373&lt;36,"18-35",C373&lt;51,"36-50",C373&lt;66,"51-65",C373&gt;=66,"Above 65")</f>
        <v>36-50</v>
      </c>
      <c r="O373" s="6"/>
    </row>
    <row r="374" spans="1:15" x14ac:dyDescent="0.35">
      <c r="A374" t="s">
        <v>751</v>
      </c>
      <c r="B374" t="s">
        <v>752</v>
      </c>
      <c r="C374">
        <v>33</v>
      </c>
      <c r="D374" t="s">
        <v>18</v>
      </c>
      <c r="E374" s="5">
        <v>45659</v>
      </c>
      <c r="F374" s="5">
        <v>45660</v>
      </c>
      <c r="G374">
        <f t="shared" si="10"/>
        <v>1</v>
      </c>
      <c r="H374" t="s">
        <v>23</v>
      </c>
      <c r="I374" t="s">
        <v>41</v>
      </c>
      <c r="J374" s="2">
        <v>2224.13</v>
      </c>
      <c r="K374" s="6">
        <v>0.7</v>
      </c>
      <c r="L374" t="s">
        <v>15</v>
      </c>
      <c r="M374" s="3">
        <f t="shared" si="11"/>
        <v>2224.13</v>
      </c>
      <c r="N374" s="9" t="str" cm="1">
        <f t="array" ref="N374">_xlfn.IFS(C374&lt;18,"Under 18",C374&lt;36,"18-35",C374&lt;51,"36-50",C374&lt;66,"51-65",C374&gt;=66,"Above 65")</f>
        <v>18-35</v>
      </c>
      <c r="O374" s="6"/>
    </row>
    <row r="375" spans="1:15" x14ac:dyDescent="0.35">
      <c r="A375" t="s">
        <v>753</v>
      </c>
      <c r="B375" t="s">
        <v>635</v>
      </c>
      <c r="C375">
        <v>76</v>
      </c>
      <c r="D375" t="s">
        <v>12</v>
      </c>
      <c r="E375" s="5">
        <v>45768</v>
      </c>
      <c r="F375" s="5">
        <v>45774</v>
      </c>
      <c r="G375">
        <f t="shared" si="10"/>
        <v>6</v>
      </c>
      <c r="H375" t="s">
        <v>13</v>
      </c>
      <c r="I375" t="s">
        <v>38</v>
      </c>
      <c r="J375" s="2">
        <v>11111.41</v>
      </c>
      <c r="K375" s="6">
        <v>0.7</v>
      </c>
      <c r="L375" t="s">
        <v>15</v>
      </c>
      <c r="M375" s="3">
        <f t="shared" si="11"/>
        <v>11111.41</v>
      </c>
      <c r="N375" s="9" t="str" cm="1">
        <f t="array" ref="N375">_xlfn.IFS(C375&lt;18,"Under 18",C375&lt;36,"18-35",C375&lt;51,"36-50",C375&lt;66,"51-65",C375&gt;=66,"Above 65")</f>
        <v>Above 65</v>
      </c>
      <c r="O375" s="6"/>
    </row>
    <row r="376" spans="1:15" x14ac:dyDescent="0.35">
      <c r="A376" t="s">
        <v>754</v>
      </c>
      <c r="B376" t="s">
        <v>741</v>
      </c>
      <c r="C376">
        <v>31</v>
      </c>
      <c r="D376" t="s">
        <v>12</v>
      </c>
      <c r="E376" s="5">
        <v>45547</v>
      </c>
      <c r="F376" s="5">
        <v>45554</v>
      </c>
      <c r="G376">
        <f t="shared" si="10"/>
        <v>7</v>
      </c>
      <c r="H376" t="s">
        <v>31</v>
      </c>
      <c r="I376" t="s">
        <v>44</v>
      </c>
      <c r="J376" s="2">
        <v>8312.57</v>
      </c>
      <c r="K376" s="6">
        <v>0.7</v>
      </c>
      <c r="L376" t="s">
        <v>15</v>
      </c>
      <c r="M376" s="3">
        <f t="shared" si="11"/>
        <v>8312.57</v>
      </c>
      <c r="N376" s="9" t="str" cm="1">
        <f t="array" ref="N376">_xlfn.IFS(C376&lt;18,"Under 18",C376&lt;36,"18-35",C376&lt;51,"36-50",C376&lt;66,"51-65",C376&gt;=66,"Above 65")</f>
        <v>18-35</v>
      </c>
      <c r="O376" s="6"/>
    </row>
    <row r="377" spans="1:15" x14ac:dyDescent="0.35">
      <c r="A377" t="s">
        <v>755</v>
      </c>
      <c r="B377" t="s">
        <v>516</v>
      </c>
      <c r="C377">
        <v>36</v>
      </c>
      <c r="D377" t="s">
        <v>12</v>
      </c>
      <c r="E377" s="5">
        <v>45595</v>
      </c>
      <c r="F377" s="5">
        <v>45600</v>
      </c>
      <c r="G377">
        <f t="shared" si="10"/>
        <v>5</v>
      </c>
      <c r="H377" t="s">
        <v>31</v>
      </c>
      <c r="I377" t="s">
        <v>234</v>
      </c>
      <c r="J377" s="2">
        <v>4633.5</v>
      </c>
      <c r="K377" s="6">
        <v>0.9</v>
      </c>
      <c r="L377" t="s">
        <v>15</v>
      </c>
      <c r="M377" s="3">
        <f t="shared" si="11"/>
        <v>4633.5</v>
      </c>
      <c r="N377" s="9" t="str" cm="1">
        <f t="array" ref="N377">_xlfn.IFS(C377&lt;18,"Under 18",C377&lt;36,"18-35",C377&lt;51,"36-50",C377&lt;66,"51-65",C377&gt;=66,"Above 65")</f>
        <v>36-50</v>
      </c>
      <c r="O377" s="6"/>
    </row>
    <row r="378" spans="1:15" x14ac:dyDescent="0.35">
      <c r="A378" t="s">
        <v>756</v>
      </c>
      <c r="B378" t="s">
        <v>757</v>
      </c>
      <c r="C378">
        <v>29</v>
      </c>
      <c r="D378" t="s">
        <v>18</v>
      </c>
      <c r="E378" s="5">
        <v>45590</v>
      </c>
      <c r="F378" s="5">
        <v>45593</v>
      </c>
      <c r="G378">
        <f t="shared" si="10"/>
        <v>3</v>
      </c>
      <c r="H378" t="s">
        <v>60</v>
      </c>
      <c r="I378" t="s">
        <v>77</v>
      </c>
      <c r="J378" s="2">
        <v>6028.31</v>
      </c>
      <c r="K378" s="6">
        <v>0.8</v>
      </c>
      <c r="L378" t="s">
        <v>25</v>
      </c>
      <c r="M378" s="3">
        <f t="shared" si="11"/>
        <v>0</v>
      </c>
      <c r="N378" s="9" t="str" cm="1">
        <f t="array" ref="N378">_xlfn.IFS(C378&lt;18,"Under 18",C378&lt;36,"18-35",C378&lt;51,"36-50",C378&lt;66,"51-65",C378&gt;=66,"Above 65")</f>
        <v>18-35</v>
      </c>
      <c r="O378" s="6"/>
    </row>
    <row r="379" spans="1:15" x14ac:dyDescent="0.35">
      <c r="A379" t="s">
        <v>758</v>
      </c>
      <c r="B379" t="s">
        <v>759</v>
      </c>
      <c r="C379">
        <v>64</v>
      </c>
      <c r="D379" t="s">
        <v>12</v>
      </c>
      <c r="E379" s="5">
        <v>45385</v>
      </c>
      <c r="F379" s="5">
        <v>45390</v>
      </c>
      <c r="G379">
        <f t="shared" si="10"/>
        <v>5</v>
      </c>
      <c r="H379" t="s">
        <v>70</v>
      </c>
      <c r="I379" t="s">
        <v>94</v>
      </c>
      <c r="J379" s="2">
        <v>6224.81</v>
      </c>
      <c r="K379" s="6">
        <v>0.7</v>
      </c>
      <c r="L379" t="s">
        <v>25</v>
      </c>
      <c r="M379" s="3">
        <f t="shared" si="11"/>
        <v>0</v>
      </c>
      <c r="N379" s="9" t="str" cm="1">
        <f t="array" ref="N379">_xlfn.IFS(C379&lt;18,"Under 18",C379&lt;36,"18-35",C379&lt;51,"36-50",C379&lt;66,"51-65",C379&gt;=66,"Above 65")</f>
        <v>51-65</v>
      </c>
      <c r="O379" s="6"/>
    </row>
    <row r="380" spans="1:15" x14ac:dyDescent="0.35">
      <c r="A380" t="s">
        <v>760</v>
      </c>
      <c r="B380" t="s">
        <v>492</v>
      </c>
      <c r="C380">
        <v>44</v>
      </c>
      <c r="D380" t="s">
        <v>12</v>
      </c>
      <c r="E380" s="5">
        <v>45500</v>
      </c>
      <c r="F380" s="5">
        <v>45511</v>
      </c>
      <c r="G380">
        <f t="shared" si="10"/>
        <v>11</v>
      </c>
      <c r="H380" t="s">
        <v>60</v>
      </c>
      <c r="I380" t="s">
        <v>61</v>
      </c>
      <c r="J380" s="2">
        <v>18959.16</v>
      </c>
      <c r="K380" s="6">
        <v>0.6</v>
      </c>
      <c r="L380" t="s">
        <v>15</v>
      </c>
      <c r="M380" s="3">
        <f t="shared" si="11"/>
        <v>18959.16</v>
      </c>
      <c r="N380" s="9" t="str" cm="1">
        <f t="array" ref="N380">_xlfn.IFS(C380&lt;18,"Under 18",C380&lt;36,"18-35",C380&lt;51,"36-50",C380&lt;66,"51-65",C380&gt;=66,"Above 65")</f>
        <v>36-50</v>
      </c>
      <c r="O380" s="6"/>
    </row>
    <row r="381" spans="1:15" x14ac:dyDescent="0.35">
      <c r="A381" t="s">
        <v>761</v>
      </c>
      <c r="B381" t="s">
        <v>762</v>
      </c>
      <c r="C381">
        <v>77</v>
      </c>
      <c r="D381" t="s">
        <v>18</v>
      </c>
      <c r="E381" s="5">
        <v>45378</v>
      </c>
      <c r="F381" s="5">
        <v>45380</v>
      </c>
      <c r="G381">
        <f t="shared" si="10"/>
        <v>2</v>
      </c>
      <c r="H381" t="s">
        <v>31</v>
      </c>
      <c r="I381" t="s">
        <v>32</v>
      </c>
      <c r="J381" s="2">
        <v>2123.39</v>
      </c>
      <c r="K381" s="6">
        <v>0.8</v>
      </c>
      <c r="L381" t="s">
        <v>15</v>
      </c>
      <c r="M381" s="3">
        <f t="shared" si="11"/>
        <v>2123.39</v>
      </c>
      <c r="N381" s="9" t="str" cm="1">
        <f t="array" ref="N381">_xlfn.IFS(C381&lt;18,"Under 18",C381&lt;36,"18-35",C381&lt;51,"36-50",C381&lt;66,"51-65",C381&gt;=66,"Above 65")</f>
        <v>Above 65</v>
      </c>
      <c r="O381" s="6"/>
    </row>
    <row r="382" spans="1:15" x14ac:dyDescent="0.35">
      <c r="A382" t="s">
        <v>763</v>
      </c>
      <c r="B382" t="s">
        <v>764</v>
      </c>
      <c r="C382">
        <v>51</v>
      </c>
      <c r="D382" t="s">
        <v>18</v>
      </c>
      <c r="E382" s="5">
        <v>45535</v>
      </c>
      <c r="F382" s="5">
        <v>45537</v>
      </c>
      <c r="G382">
        <f t="shared" si="10"/>
        <v>2</v>
      </c>
      <c r="H382" t="s">
        <v>60</v>
      </c>
      <c r="I382" t="s">
        <v>77</v>
      </c>
      <c r="J382" s="2">
        <v>4043.37</v>
      </c>
      <c r="K382" s="6">
        <v>1</v>
      </c>
      <c r="L382" t="s">
        <v>15</v>
      </c>
      <c r="M382" s="3">
        <f t="shared" si="11"/>
        <v>4043.37</v>
      </c>
      <c r="N382" s="9" t="str" cm="1">
        <f t="array" ref="N382">_xlfn.IFS(C382&lt;18,"Under 18",C382&lt;36,"18-35",C382&lt;51,"36-50",C382&lt;66,"51-65",C382&gt;=66,"Above 65")</f>
        <v>51-65</v>
      </c>
      <c r="O382" s="6"/>
    </row>
    <row r="383" spans="1:15" x14ac:dyDescent="0.35">
      <c r="A383" t="s">
        <v>765</v>
      </c>
      <c r="B383" t="s">
        <v>766</v>
      </c>
      <c r="C383">
        <v>4</v>
      </c>
      <c r="D383" t="s">
        <v>12</v>
      </c>
      <c r="E383" s="5">
        <v>45670</v>
      </c>
      <c r="F383" s="5">
        <v>45671</v>
      </c>
      <c r="G383">
        <f t="shared" si="10"/>
        <v>1</v>
      </c>
      <c r="H383" t="s">
        <v>49</v>
      </c>
      <c r="I383" t="s">
        <v>123</v>
      </c>
      <c r="J383" s="2">
        <v>843.6</v>
      </c>
      <c r="K383" s="6">
        <v>0.7</v>
      </c>
      <c r="L383" t="s">
        <v>25</v>
      </c>
      <c r="M383" s="3">
        <f t="shared" si="11"/>
        <v>0</v>
      </c>
      <c r="N383" s="9" t="str" cm="1">
        <f t="array" ref="N383">_xlfn.IFS(C383&lt;18,"Under 18",C383&lt;36,"18-35",C383&lt;51,"36-50",C383&lt;66,"51-65",C383&gt;=66,"Above 65")</f>
        <v>Under 18</v>
      </c>
      <c r="O383" s="6"/>
    </row>
    <row r="384" spans="1:15" x14ac:dyDescent="0.35">
      <c r="A384" t="s">
        <v>767</v>
      </c>
      <c r="B384" t="s">
        <v>538</v>
      </c>
      <c r="C384">
        <v>37</v>
      </c>
      <c r="D384" t="s">
        <v>18</v>
      </c>
      <c r="E384" s="5">
        <v>46012</v>
      </c>
      <c r="F384" s="5">
        <v>46016</v>
      </c>
      <c r="G384">
        <f t="shared" si="10"/>
        <v>4</v>
      </c>
      <c r="H384" t="s">
        <v>31</v>
      </c>
      <c r="I384" t="s">
        <v>114</v>
      </c>
      <c r="J384" s="2">
        <v>2561.88</v>
      </c>
      <c r="K384" s="6">
        <v>0.7</v>
      </c>
      <c r="L384" t="s">
        <v>15</v>
      </c>
      <c r="M384" s="3">
        <f t="shared" si="11"/>
        <v>2561.88</v>
      </c>
      <c r="N384" s="9" t="str" cm="1">
        <f t="array" ref="N384">_xlfn.IFS(C384&lt;18,"Under 18",C384&lt;36,"18-35",C384&lt;51,"36-50",C384&lt;66,"51-65",C384&gt;=66,"Above 65")</f>
        <v>36-50</v>
      </c>
      <c r="O384" s="6"/>
    </row>
    <row r="385" spans="1:15" x14ac:dyDescent="0.35">
      <c r="A385" t="s">
        <v>768</v>
      </c>
      <c r="B385" t="s">
        <v>769</v>
      </c>
      <c r="C385">
        <v>21</v>
      </c>
      <c r="D385" t="s">
        <v>18</v>
      </c>
      <c r="E385" s="5">
        <v>45293</v>
      </c>
      <c r="F385" s="5">
        <v>45294</v>
      </c>
      <c r="G385">
        <f t="shared" si="10"/>
        <v>1</v>
      </c>
      <c r="H385" t="s">
        <v>23</v>
      </c>
      <c r="I385" t="s">
        <v>28</v>
      </c>
      <c r="J385" s="2">
        <v>1511.32</v>
      </c>
      <c r="K385" s="6">
        <v>0.8</v>
      </c>
      <c r="L385" t="s">
        <v>20</v>
      </c>
      <c r="M385" s="3">
        <f t="shared" si="11"/>
        <v>0</v>
      </c>
      <c r="N385" s="9" t="str" cm="1">
        <f t="array" ref="N385">_xlfn.IFS(C385&lt;18,"Under 18",C385&lt;36,"18-35",C385&lt;51,"36-50",C385&lt;66,"51-65",C385&gt;=66,"Above 65")</f>
        <v>18-35</v>
      </c>
      <c r="O385" s="6"/>
    </row>
    <row r="386" spans="1:15" x14ac:dyDescent="0.35">
      <c r="A386" t="s">
        <v>770</v>
      </c>
      <c r="B386" t="s">
        <v>179</v>
      </c>
      <c r="C386">
        <v>55</v>
      </c>
      <c r="D386" t="s">
        <v>12</v>
      </c>
      <c r="E386" s="5">
        <v>45930</v>
      </c>
      <c r="F386" s="5">
        <v>45944</v>
      </c>
      <c r="G386">
        <f t="shared" si="10"/>
        <v>14</v>
      </c>
      <c r="H386" t="s">
        <v>60</v>
      </c>
      <c r="I386" t="s">
        <v>61</v>
      </c>
      <c r="J386" s="2">
        <v>27685.69</v>
      </c>
      <c r="K386" s="6">
        <v>0.7</v>
      </c>
      <c r="L386" t="s">
        <v>15</v>
      </c>
      <c r="M386" s="3">
        <f t="shared" si="11"/>
        <v>27685.69</v>
      </c>
      <c r="N386" s="9" t="str" cm="1">
        <f t="array" ref="N386">_xlfn.IFS(C386&lt;18,"Under 18",C386&lt;36,"18-35",C386&lt;51,"36-50",C386&lt;66,"51-65",C386&gt;=66,"Above 65")</f>
        <v>51-65</v>
      </c>
      <c r="O386" s="6"/>
    </row>
    <row r="387" spans="1:15" x14ac:dyDescent="0.35">
      <c r="A387" t="s">
        <v>771</v>
      </c>
      <c r="B387" t="s">
        <v>772</v>
      </c>
      <c r="C387">
        <v>24</v>
      </c>
      <c r="D387" t="s">
        <v>12</v>
      </c>
      <c r="E387" s="5">
        <v>45591</v>
      </c>
      <c r="F387" s="5">
        <v>45595</v>
      </c>
      <c r="G387">
        <f t="shared" ref="G387:G450" si="12">DATEDIF(E387,F387,"D")</f>
        <v>4</v>
      </c>
      <c r="H387" t="s">
        <v>31</v>
      </c>
      <c r="I387" t="s">
        <v>87</v>
      </c>
      <c r="J387" s="2">
        <v>3028.33</v>
      </c>
      <c r="K387" s="6">
        <v>0.7</v>
      </c>
      <c r="L387" t="s">
        <v>20</v>
      </c>
      <c r="M387" s="3">
        <f t="shared" ref="M387:M450" si="13">IF(L387 = "Paid",J387,0)</f>
        <v>0</v>
      </c>
      <c r="N387" s="9" t="str" cm="1">
        <f t="array" ref="N387">_xlfn.IFS(C387&lt;18,"Under 18",C387&lt;36,"18-35",C387&lt;51,"36-50",C387&lt;66,"51-65",C387&gt;=66,"Above 65")</f>
        <v>18-35</v>
      </c>
      <c r="O387" s="6"/>
    </row>
    <row r="388" spans="1:15" x14ac:dyDescent="0.35">
      <c r="A388" t="s">
        <v>773</v>
      </c>
      <c r="B388" t="s">
        <v>774</v>
      </c>
      <c r="C388">
        <v>70</v>
      </c>
      <c r="D388" t="s">
        <v>12</v>
      </c>
      <c r="E388" s="5">
        <v>45751</v>
      </c>
      <c r="F388" s="5">
        <v>45765</v>
      </c>
      <c r="G388">
        <f t="shared" si="12"/>
        <v>14</v>
      </c>
      <c r="H388" t="s">
        <v>60</v>
      </c>
      <c r="I388" t="s">
        <v>74</v>
      </c>
      <c r="J388" s="2">
        <v>37544.019999999997</v>
      </c>
      <c r="K388" s="6">
        <v>0.8</v>
      </c>
      <c r="L388" t="s">
        <v>15</v>
      </c>
      <c r="M388" s="3">
        <f t="shared" si="13"/>
        <v>37544.019999999997</v>
      </c>
      <c r="N388" s="9" t="str" cm="1">
        <f t="array" ref="N388">_xlfn.IFS(C388&lt;18,"Under 18",C388&lt;36,"18-35",C388&lt;51,"36-50",C388&lt;66,"51-65",C388&gt;=66,"Above 65")</f>
        <v>Above 65</v>
      </c>
      <c r="O388" s="6"/>
    </row>
    <row r="389" spans="1:15" x14ac:dyDescent="0.35">
      <c r="A389" t="s">
        <v>775</v>
      </c>
      <c r="B389" t="s">
        <v>776</v>
      </c>
      <c r="C389">
        <v>32</v>
      </c>
      <c r="D389" t="s">
        <v>12</v>
      </c>
      <c r="E389" s="5">
        <v>45444</v>
      </c>
      <c r="F389" s="5">
        <v>45451</v>
      </c>
      <c r="G389">
        <f t="shared" si="12"/>
        <v>7</v>
      </c>
      <c r="H389" t="s">
        <v>70</v>
      </c>
      <c r="I389" t="s">
        <v>157</v>
      </c>
      <c r="J389" s="2">
        <v>17899.3</v>
      </c>
      <c r="K389" s="6">
        <v>0.7</v>
      </c>
      <c r="L389" t="s">
        <v>25</v>
      </c>
      <c r="M389" s="3">
        <f t="shared" si="13"/>
        <v>0</v>
      </c>
      <c r="N389" s="9" t="str" cm="1">
        <f t="array" ref="N389">_xlfn.IFS(C389&lt;18,"Under 18",C389&lt;36,"18-35",C389&lt;51,"36-50",C389&lt;66,"51-65",C389&gt;=66,"Above 65")</f>
        <v>18-35</v>
      </c>
      <c r="O389" s="6"/>
    </row>
    <row r="390" spans="1:15" x14ac:dyDescent="0.35">
      <c r="A390" t="s">
        <v>777</v>
      </c>
      <c r="B390" t="s">
        <v>778</v>
      </c>
      <c r="C390">
        <v>11</v>
      </c>
      <c r="D390" t="s">
        <v>12</v>
      </c>
      <c r="E390" s="5">
        <v>46010</v>
      </c>
      <c r="F390" s="5">
        <v>46013</v>
      </c>
      <c r="G390">
        <f t="shared" si="12"/>
        <v>3</v>
      </c>
      <c r="H390" t="s">
        <v>49</v>
      </c>
      <c r="I390" t="s">
        <v>50</v>
      </c>
      <c r="J390" s="2">
        <v>5297.21</v>
      </c>
      <c r="K390" s="6">
        <v>0.8</v>
      </c>
      <c r="L390" t="s">
        <v>15</v>
      </c>
      <c r="M390" s="3">
        <f t="shared" si="13"/>
        <v>5297.21</v>
      </c>
      <c r="N390" s="9" t="str" cm="1">
        <f t="array" ref="N390">_xlfn.IFS(C390&lt;18,"Under 18",C390&lt;36,"18-35",C390&lt;51,"36-50",C390&lt;66,"51-65",C390&gt;=66,"Above 65")</f>
        <v>Under 18</v>
      </c>
      <c r="O390" s="6"/>
    </row>
    <row r="391" spans="1:15" x14ac:dyDescent="0.35">
      <c r="A391" t="s">
        <v>779</v>
      </c>
      <c r="B391" t="s">
        <v>780</v>
      </c>
      <c r="C391">
        <v>46</v>
      </c>
      <c r="D391" t="s">
        <v>12</v>
      </c>
      <c r="E391" s="5">
        <v>45305</v>
      </c>
      <c r="F391" s="5">
        <v>45313</v>
      </c>
      <c r="G391">
        <f t="shared" si="12"/>
        <v>8</v>
      </c>
      <c r="H391" t="s">
        <v>13</v>
      </c>
      <c r="I391" t="s">
        <v>102</v>
      </c>
      <c r="J391" s="2">
        <v>10640.24</v>
      </c>
      <c r="K391" s="6">
        <v>0</v>
      </c>
      <c r="L391" t="s">
        <v>25</v>
      </c>
      <c r="M391" s="3">
        <f t="shared" si="13"/>
        <v>0</v>
      </c>
      <c r="N391" s="9" t="str" cm="1">
        <f t="array" ref="N391">_xlfn.IFS(C391&lt;18,"Under 18",C391&lt;36,"18-35",C391&lt;51,"36-50",C391&lt;66,"51-65",C391&gt;=66,"Above 65")</f>
        <v>36-50</v>
      </c>
      <c r="O391" s="6"/>
    </row>
    <row r="392" spans="1:15" x14ac:dyDescent="0.35">
      <c r="A392" t="s">
        <v>781</v>
      </c>
      <c r="B392" t="s">
        <v>386</v>
      </c>
      <c r="C392">
        <v>40</v>
      </c>
      <c r="D392" t="s">
        <v>18</v>
      </c>
      <c r="E392" s="5">
        <v>45636</v>
      </c>
      <c r="F392" s="5">
        <v>45639</v>
      </c>
      <c r="G392">
        <f t="shared" si="12"/>
        <v>3</v>
      </c>
      <c r="H392" t="s">
        <v>70</v>
      </c>
      <c r="I392" t="s">
        <v>71</v>
      </c>
      <c r="J392" s="2">
        <v>3660.71</v>
      </c>
      <c r="K392" s="6">
        <v>0.7</v>
      </c>
      <c r="L392" t="s">
        <v>25</v>
      </c>
      <c r="M392" s="3">
        <f t="shared" si="13"/>
        <v>0</v>
      </c>
      <c r="N392" s="9" t="str" cm="1">
        <f t="array" ref="N392">_xlfn.IFS(C392&lt;18,"Under 18",C392&lt;36,"18-35",C392&lt;51,"36-50",C392&lt;66,"51-65",C392&gt;=66,"Above 65")</f>
        <v>36-50</v>
      </c>
      <c r="O392" s="6"/>
    </row>
    <row r="393" spans="1:15" x14ac:dyDescent="0.35">
      <c r="A393" t="s">
        <v>782</v>
      </c>
      <c r="B393" t="s">
        <v>783</v>
      </c>
      <c r="C393">
        <v>42</v>
      </c>
      <c r="D393" t="s">
        <v>18</v>
      </c>
      <c r="E393" s="5">
        <v>45941</v>
      </c>
      <c r="F393" s="5">
        <v>45947</v>
      </c>
      <c r="G393">
        <f t="shared" si="12"/>
        <v>6</v>
      </c>
      <c r="H393" t="s">
        <v>70</v>
      </c>
      <c r="I393" t="s">
        <v>94</v>
      </c>
      <c r="J393" s="2">
        <v>10028.68</v>
      </c>
      <c r="K393" s="6">
        <v>0.8</v>
      </c>
      <c r="L393" t="s">
        <v>20</v>
      </c>
      <c r="M393" s="3">
        <f t="shared" si="13"/>
        <v>0</v>
      </c>
      <c r="N393" s="9" t="str" cm="1">
        <f t="array" ref="N393">_xlfn.IFS(C393&lt;18,"Under 18",C393&lt;36,"18-35",C393&lt;51,"36-50",C393&lt;66,"51-65",C393&gt;=66,"Above 65")</f>
        <v>36-50</v>
      </c>
      <c r="O393" s="6"/>
    </row>
    <row r="394" spans="1:15" x14ac:dyDescent="0.35">
      <c r="A394" t="s">
        <v>784</v>
      </c>
      <c r="B394" t="s">
        <v>785</v>
      </c>
      <c r="C394">
        <v>9</v>
      </c>
      <c r="D394" t="s">
        <v>18</v>
      </c>
      <c r="E394" s="5">
        <v>45296</v>
      </c>
      <c r="F394" s="5">
        <v>45301</v>
      </c>
      <c r="G394">
        <f t="shared" si="12"/>
        <v>5</v>
      </c>
      <c r="H394" t="s">
        <v>49</v>
      </c>
      <c r="I394" t="s">
        <v>130</v>
      </c>
      <c r="J394" s="2">
        <v>7238.61</v>
      </c>
      <c r="K394" s="6">
        <v>0.5</v>
      </c>
      <c r="L394" t="s">
        <v>20</v>
      </c>
      <c r="M394" s="3">
        <f t="shared" si="13"/>
        <v>0</v>
      </c>
      <c r="N394" s="9" t="str" cm="1">
        <f t="array" ref="N394">_xlfn.IFS(C394&lt;18,"Under 18",C394&lt;36,"18-35",C394&lt;51,"36-50",C394&lt;66,"51-65",C394&gt;=66,"Above 65")</f>
        <v>Under 18</v>
      </c>
      <c r="O394" s="6"/>
    </row>
    <row r="395" spans="1:15" x14ac:dyDescent="0.35">
      <c r="A395" t="s">
        <v>786</v>
      </c>
      <c r="B395" t="s">
        <v>787</v>
      </c>
      <c r="C395">
        <v>29</v>
      </c>
      <c r="D395" t="s">
        <v>18</v>
      </c>
      <c r="E395" s="5">
        <v>45292</v>
      </c>
      <c r="F395" s="5">
        <v>45293</v>
      </c>
      <c r="G395">
        <f t="shared" si="12"/>
        <v>1</v>
      </c>
      <c r="H395" t="s">
        <v>31</v>
      </c>
      <c r="I395" t="s">
        <v>44</v>
      </c>
      <c r="J395" s="2">
        <v>969.55</v>
      </c>
      <c r="K395" s="6">
        <v>0.9</v>
      </c>
      <c r="L395" t="s">
        <v>15</v>
      </c>
      <c r="M395" s="3">
        <f t="shared" si="13"/>
        <v>969.55</v>
      </c>
      <c r="N395" s="9" t="str" cm="1">
        <f t="array" ref="N395">_xlfn.IFS(C395&lt;18,"Under 18",C395&lt;36,"18-35",C395&lt;51,"36-50",C395&lt;66,"51-65",C395&gt;=66,"Above 65")</f>
        <v>18-35</v>
      </c>
      <c r="O395" s="6"/>
    </row>
    <row r="396" spans="1:15" x14ac:dyDescent="0.35">
      <c r="A396" t="s">
        <v>788</v>
      </c>
      <c r="B396" t="s">
        <v>789</v>
      </c>
      <c r="C396">
        <v>63</v>
      </c>
      <c r="D396" t="s">
        <v>12</v>
      </c>
      <c r="E396" s="5">
        <v>45500</v>
      </c>
      <c r="F396" s="5">
        <v>45510</v>
      </c>
      <c r="G396">
        <f t="shared" si="12"/>
        <v>10</v>
      </c>
      <c r="H396" t="s">
        <v>13</v>
      </c>
      <c r="I396" t="s">
        <v>19</v>
      </c>
      <c r="J396" s="2">
        <v>29016.400000000001</v>
      </c>
      <c r="K396" s="6">
        <v>0.7</v>
      </c>
      <c r="L396" t="s">
        <v>15</v>
      </c>
      <c r="M396" s="3">
        <f t="shared" si="13"/>
        <v>29016.400000000001</v>
      </c>
      <c r="N396" s="9" t="str" cm="1">
        <f t="array" ref="N396">_xlfn.IFS(C396&lt;18,"Under 18",C396&lt;36,"18-35",C396&lt;51,"36-50",C396&lt;66,"51-65",C396&gt;=66,"Above 65")</f>
        <v>51-65</v>
      </c>
      <c r="O396" s="6"/>
    </row>
    <row r="397" spans="1:15" x14ac:dyDescent="0.35">
      <c r="A397" t="s">
        <v>790</v>
      </c>
      <c r="B397" t="s">
        <v>791</v>
      </c>
      <c r="C397">
        <v>15</v>
      </c>
      <c r="D397" t="s">
        <v>18</v>
      </c>
      <c r="E397" s="5">
        <v>45857</v>
      </c>
      <c r="F397" s="5">
        <v>45861</v>
      </c>
      <c r="G397">
        <f t="shared" si="12"/>
        <v>4</v>
      </c>
      <c r="H397" t="s">
        <v>49</v>
      </c>
      <c r="I397" t="s">
        <v>117</v>
      </c>
      <c r="J397" s="2">
        <v>6415.8</v>
      </c>
      <c r="K397" s="6">
        <v>0.8</v>
      </c>
      <c r="L397" t="s">
        <v>15</v>
      </c>
      <c r="M397" s="3">
        <f t="shared" si="13"/>
        <v>6415.8</v>
      </c>
      <c r="N397" s="9" t="str" cm="1">
        <f t="array" ref="N397">_xlfn.IFS(C397&lt;18,"Under 18",C397&lt;36,"18-35",C397&lt;51,"36-50",C397&lt;66,"51-65",C397&gt;=66,"Above 65")</f>
        <v>Under 18</v>
      </c>
      <c r="O397" s="6"/>
    </row>
    <row r="398" spans="1:15" x14ac:dyDescent="0.35">
      <c r="A398" t="s">
        <v>792</v>
      </c>
      <c r="B398" t="s">
        <v>793</v>
      </c>
      <c r="C398">
        <v>54</v>
      </c>
      <c r="D398" t="s">
        <v>12</v>
      </c>
      <c r="E398" s="5">
        <v>45646</v>
      </c>
      <c r="F398" s="5">
        <v>45651</v>
      </c>
      <c r="G398">
        <f t="shared" si="12"/>
        <v>5</v>
      </c>
      <c r="H398" t="s">
        <v>13</v>
      </c>
      <c r="I398" t="s">
        <v>102</v>
      </c>
      <c r="J398" s="2">
        <v>12816.46</v>
      </c>
      <c r="K398" s="6">
        <v>0.5</v>
      </c>
      <c r="L398" t="s">
        <v>15</v>
      </c>
      <c r="M398" s="3">
        <f t="shared" si="13"/>
        <v>12816.46</v>
      </c>
      <c r="N398" s="9" t="str" cm="1">
        <f t="array" ref="N398">_xlfn.IFS(C398&lt;18,"Under 18",C398&lt;36,"18-35",C398&lt;51,"36-50",C398&lt;66,"51-65",C398&gt;=66,"Above 65")</f>
        <v>51-65</v>
      </c>
      <c r="O398" s="6"/>
    </row>
    <row r="399" spans="1:15" x14ac:dyDescent="0.35">
      <c r="A399" t="s">
        <v>794</v>
      </c>
      <c r="B399" t="s">
        <v>795</v>
      </c>
      <c r="C399">
        <v>77</v>
      </c>
      <c r="D399" t="s">
        <v>18</v>
      </c>
      <c r="E399" s="5">
        <v>45582</v>
      </c>
      <c r="F399" s="5">
        <v>45585</v>
      </c>
      <c r="G399">
        <f t="shared" si="12"/>
        <v>3</v>
      </c>
      <c r="H399" t="s">
        <v>13</v>
      </c>
      <c r="I399" t="s">
        <v>165</v>
      </c>
      <c r="J399" s="2">
        <v>7577.11</v>
      </c>
      <c r="K399" s="6">
        <v>0.8</v>
      </c>
      <c r="L399" t="s">
        <v>15</v>
      </c>
      <c r="M399" s="3">
        <f t="shared" si="13"/>
        <v>7577.11</v>
      </c>
      <c r="N399" s="9" t="str" cm="1">
        <f t="array" ref="N399">_xlfn.IFS(C399&lt;18,"Under 18",C399&lt;36,"18-35",C399&lt;51,"36-50",C399&lt;66,"51-65",C399&gt;=66,"Above 65")</f>
        <v>Above 65</v>
      </c>
      <c r="O399" s="6"/>
    </row>
    <row r="400" spans="1:15" x14ac:dyDescent="0.35">
      <c r="A400" t="s">
        <v>796</v>
      </c>
      <c r="B400" t="s">
        <v>797</v>
      </c>
      <c r="C400">
        <v>35</v>
      </c>
      <c r="D400" t="s">
        <v>12</v>
      </c>
      <c r="E400" s="5">
        <v>45641</v>
      </c>
      <c r="F400" s="5">
        <v>45642</v>
      </c>
      <c r="G400">
        <f t="shared" si="12"/>
        <v>1</v>
      </c>
      <c r="H400" t="s">
        <v>23</v>
      </c>
      <c r="I400" t="s">
        <v>204</v>
      </c>
      <c r="J400" s="2">
        <v>1670.53</v>
      </c>
      <c r="K400" s="6">
        <v>0.8</v>
      </c>
      <c r="L400" t="s">
        <v>15</v>
      </c>
      <c r="M400" s="3">
        <f t="shared" si="13"/>
        <v>1670.53</v>
      </c>
      <c r="N400" s="9" t="str" cm="1">
        <f t="array" ref="N400">_xlfn.IFS(C400&lt;18,"Under 18",C400&lt;36,"18-35",C400&lt;51,"36-50",C400&lt;66,"51-65",C400&gt;=66,"Above 65")</f>
        <v>18-35</v>
      </c>
      <c r="O400" s="6"/>
    </row>
    <row r="401" spans="1:15" x14ac:dyDescent="0.35">
      <c r="A401" t="s">
        <v>798</v>
      </c>
      <c r="B401" t="s">
        <v>799</v>
      </c>
      <c r="C401">
        <v>58</v>
      </c>
      <c r="D401" t="s">
        <v>12</v>
      </c>
      <c r="E401" s="5">
        <v>45390</v>
      </c>
      <c r="F401" s="5">
        <v>45398</v>
      </c>
      <c r="G401">
        <f t="shared" si="12"/>
        <v>8</v>
      </c>
      <c r="H401" t="s">
        <v>60</v>
      </c>
      <c r="I401" t="s">
        <v>74</v>
      </c>
      <c r="J401" s="2">
        <v>19956.13</v>
      </c>
      <c r="K401" s="6">
        <v>1</v>
      </c>
      <c r="L401" t="s">
        <v>15</v>
      </c>
      <c r="M401" s="3">
        <f t="shared" si="13"/>
        <v>19956.13</v>
      </c>
      <c r="N401" s="9" t="str" cm="1">
        <f t="array" ref="N401">_xlfn.IFS(C401&lt;18,"Under 18",C401&lt;36,"18-35",C401&lt;51,"36-50",C401&lt;66,"51-65",C401&gt;=66,"Above 65")</f>
        <v>51-65</v>
      </c>
      <c r="O401" s="6"/>
    </row>
    <row r="402" spans="1:15" x14ac:dyDescent="0.35">
      <c r="A402" t="s">
        <v>800</v>
      </c>
      <c r="B402" t="s">
        <v>377</v>
      </c>
      <c r="C402">
        <v>73</v>
      </c>
      <c r="D402" t="s">
        <v>12</v>
      </c>
      <c r="E402" s="5">
        <v>45441</v>
      </c>
      <c r="F402" s="5">
        <v>45443</v>
      </c>
      <c r="G402">
        <f t="shared" si="12"/>
        <v>2</v>
      </c>
      <c r="H402" t="s">
        <v>23</v>
      </c>
      <c r="I402" t="s">
        <v>82</v>
      </c>
      <c r="J402" s="2">
        <v>2111.6799999999998</v>
      </c>
      <c r="K402" s="6">
        <v>0.9</v>
      </c>
      <c r="L402" t="s">
        <v>15</v>
      </c>
      <c r="M402" s="3">
        <f t="shared" si="13"/>
        <v>2111.6799999999998</v>
      </c>
      <c r="N402" s="9" t="str" cm="1">
        <f t="array" ref="N402">_xlfn.IFS(C402&lt;18,"Under 18",C402&lt;36,"18-35",C402&lt;51,"36-50",C402&lt;66,"51-65",C402&gt;=66,"Above 65")</f>
        <v>Above 65</v>
      </c>
      <c r="O402" s="6"/>
    </row>
    <row r="403" spans="1:15" x14ac:dyDescent="0.35">
      <c r="A403" t="s">
        <v>801</v>
      </c>
      <c r="B403" t="s">
        <v>802</v>
      </c>
      <c r="C403">
        <v>40</v>
      </c>
      <c r="D403" t="s">
        <v>18</v>
      </c>
      <c r="E403" s="5">
        <v>45336</v>
      </c>
      <c r="F403" s="5">
        <v>45342</v>
      </c>
      <c r="G403">
        <f t="shared" si="12"/>
        <v>6</v>
      </c>
      <c r="H403" t="s">
        <v>60</v>
      </c>
      <c r="I403" t="s">
        <v>142</v>
      </c>
      <c r="J403" s="2">
        <v>9466.9</v>
      </c>
      <c r="K403" s="6">
        <v>0.7</v>
      </c>
      <c r="L403" t="s">
        <v>25</v>
      </c>
      <c r="M403" s="3">
        <f t="shared" si="13"/>
        <v>0</v>
      </c>
      <c r="N403" s="9" t="str" cm="1">
        <f t="array" ref="N403">_xlfn.IFS(C403&lt;18,"Under 18",C403&lt;36,"18-35",C403&lt;51,"36-50",C403&lt;66,"51-65",C403&gt;=66,"Above 65")</f>
        <v>36-50</v>
      </c>
      <c r="O403" s="6"/>
    </row>
    <row r="404" spans="1:15" x14ac:dyDescent="0.35">
      <c r="A404" t="s">
        <v>803</v>
      </c>
      <c r="B404" t="s">
        <v>804</v>
      </c>
      <c r="C404">
        <v>42</v>
      </c>
      <c r="D404" t="s">
        <v>18</v>
      </c>
      <c r="E404" s="5">
        <v>45294</v>
      </c>
      <c r="F404" s="5">
        <v>45304</v>
      </c>
      <c r="G404">
        <f t="shared" si="12"/>
        <v>10</v>
      </c>
      <c r="H404" t="s">
        <v>70</v>
      </c>
      <c r="I404" t="s">
        <v>194</v>
      </c>
      <c r="J404" s="2">
        <v>20681.509999999998</v>
      </c>
      <c r="K404" s="6">
        <v>0.9</v>
      </c>
      <c r="L404" t="s">
        <v>15</v>
      </c>
      <c r="M404" s="3">
        <f t="shared" si="13"/>
        <v>20681.509999999998</v>
      </c>
      <c r="N404" s="9" t="str" cm="1">
        <f t="array" ref="N404">_xlfn.IFS(C404&lt;18,"Under 18",C404&lt;36,"18-35",C404&lt;51,"36-50",C404&lt;66,"51-65",C404&gt;=66,"Above 65")</f>
        <v>36-50</v>
      </c>
      <c r="O404" s="6"/>
    </row>
    <row r="405" spans="1:15" x14ac:dyDescent="0.35">
      <c r="A405" t="s">
        <v>805</v>
      </c>
      <c r="B405" t="s">
        <v>806</v>
      </c>
      <c r="C405">
        <v>12</v>
      </c>
      <c r="D405" t="s">
        <v>12</v>
      </c>
      <c r="E405" s="5">
        <v>45750</v>
      </c>
      <c r="F405" s="5">
        <v>45754</v>
      </c>
      <c r="G405">
        <f t="shared" si="12"/>
        <v>4</v>
      </c>
      <c r="H405" t="s">
        <v>49</v>
      </c>
      <c r="I405" t="s">
        <v>130</v>
      </c>
      <c r="J405" s="2">
        <v>2556.54</v>
      </c>
      <c r="K405" s="6">
        <v>1</v>
      </c>
      <c r="L405" t="s">
        <v>15</v>
      </c>
      <c r="M405" s="3">
        <f t="shared" si="13"/>
        <v>2556.54</v>
      </c>
      <c r="N405" s="9" t="str" cm="1">
        <f t="array" ref="N405">_xlfn.IFS(C405&lt;18,"Under 18",C405&lt;36,"18-35",C405&lt;51,"36-50",C405&lt;66,"51-65",C405&gt;=66,"Above 65")</f>
        <v>Under 18</v>
      </c>
      <c r="O405" s="6"/>
    </row>
    <row r="406" spans="1:15" x14ac:dyDescent="0.35">
      <c r="A406" t="s">
        <v>807</v>
      </c>
      <c r="B406" t="s">
        <v>808</v>
      </c>
      <c r="C406">
        <v>67</v>
      </c>
      <c r="D406" t="s">
        <v>12</v>
      </c>
      <c r="E406" s="5">
        <v>45359</v>
      </c>
      <c r="F406" s="5">
        <v>45367</v>
      </c>
      <c r="G406">
        <f t="shared" si="12"/>
        <v>8</v>
      </c>
      <c r="H406" t="s">
        <v>70</v>
      </c>
      <c r="I406" t="s">
        <v>71</v>
      </c>
      <c r="J406" s="2">
        <v>20496.009999999998</v>
      </c>
      <c r="K406" s="6">
        <v>1</v>
      </c>
      <c r="L406" t="s">
        <v>20</v>
      </c>
      <c r="M406" s="3">
        <f t="shared" si="13"/>
        <v>0</v>
      </c>
      <c r="N406" s="9" t="str" cm="1">
        <f t="array" ref="N406">_xlfn.IFS(C406&lt;18,"Under 18",C406&lt;36,"18-35",C406&lt;51,"36-50",C406&lt;66,"51-65",C406&gt;=66,"Above 65")</f>
        <v>Above 65</v>
      </c>
      <c r="O406" s="6"/>
    </row>
    <row r="407" spans="1:15" x14ac:dyDescent="0.35">
      <c r="A407" t="s">
        <v>809</v>
      </c>
      <c r="B407" t="s">
        <v>810</v>
      </c>
      <c r="C407">
        <v>1</v>
      </c>
      <c r="D407" t="s">
        <v>12</v>
      </c>
      <c r="E407" s="5">
        <v>45405</v>
      </c>
      <c r="F407" s="5">
        <v>45406</v>
      </c>
      <c r="G407">
        <f t="shared" si="12"/>
        <v>1</v>
      </c>
      <c r="H407" t="s">
        <v>49</v>
      </c>
      <c r="I407" t="s">
        <v>50</v>
      </c>
      <c r="J407" s="2">
        <v>1269.22</v>
      </c>
      <c r="K407" s="6">
        <v>0.9</v>
      </c>
      <c r="L407" t="s">
        <v>15</v>
      </c>
      <c r="M407" s="3">
        <f t="shared" si="13"/>
        <v>1269.22</v>
      </c>
      <c r="N407" s="9" t="str" cm="1">
        <f t="array" ref="N407">_xlfn.IFS(C407&lt;18,"Under 18",C407&lt;36,"18-35",C407&lt;51,"36-50",C407&lt;66,"51-65",C407&gt;=66,"Above 65")</f>
        <v>Under 18</v>
      </c>
      <c r="O407" s="6"/>
    </row>
    <row r="408" spans="1:15" x14ac:dyDescent="0.35">
      <c r="A408" t="s">
        <v>811</v>
      </c>
      <c r="B408" t="s">
        <v>812</v>
      </c>
      <c r="C408">
        <v>74</v>
      </c>
      <c r="D408" t="s">
        <v>18</v>
      </c>
      <c r="E408" s="5">
        <v>45527</v>
      </c>
      <c r="F408" s="5">
        <v>45536</v>
      </c>
      <c r="G408">
        <f t="shared" si="12"/>
        <v>9</v>
      </c>
      <c r="H408" t="s">
        <v>60</v>
      </c>
      <c r="I408" t="s">
        <v>61</v>
      </c>
      <c r="J408" s="2">
        <v>14175.59</v>
      </c>
      <c r="K408" s="6">
        <v>0.7</v>
      </c>
      <c r="L408" t="s">
        <v>25</v>
      </c>
      <c r="M408" s="3">
        <f t="shared" si="13"/>
        <v>0</v>
      </c>
      <c r="N408" s="9" t="str" cm="1">
        <f t="array" ref="N408">_xlfn.IFS(C408&lt;18,"Under 18",C408&lt;36,"18-35",C408&lt;51,"36-50",C408&lt;66,"51-65",C408&gt;=66,"Above 65")</f>
        <v>Above 65</v>
      </c>
      <c r="O408" s="6"/>
    </row>
    <row r="409" spans="1:15" x14ac:dyDescent="0.35">
      <c r="A409" t="s">
        <v>813</v>
      </c>
      <c r="B409" t="s">
        <v>814</v>
      </c>
      <c r="C409">
        <v>36</v>
      </c>
      <c r="D409" t="s">
        <v>18</v>
      </c>
      <c r="E409" s="5">
        <v>45845</v>
      </c>
      <c r="F409" s="5">
        <v>45847</v>
      </c>
      <c r="G409">
        <f t="shared" si="12"/>
        <v>2</v>
      </c>
      <c r="H409" t="s">
        <v>23</v>
      </c>
      <c r="I409" t="s">
        <v>333</v>
      </c>
      <c r="J409" s="2">
        <v>2258.0700000000002</v>
      </c>
      <c r="K409" s="6">
        <v>0.8</v>
      </c>
      <c r="L409" t="s">
        <v>15</v>
      </c>
      <c r="M409" s="3">
        <f t="shared" si="13"/>
        <v>2258.0700000000002</v>
      </c>
      <c r="N409" s="9" t="str" cm="1">
        <f t="array" ref="N409">_xlfn.IFS(C409&lt;18,"Under 18",C409&lt;36,"18-35",C409&lt;51,"36-50",C409&lt;66,"51-65",C409&gt;=66,"Above 65")</f>
        <v>36-50</v>
      </c>
      <c r="O409" s="6"/>
    </row>
    <row r="410" spans="1:15" x14ac:dyDescent="0.35">
      <c r="A410" t="s">
        <v>815</v>
      </c>
      <c r="B410" t="s">
        <v>816</v>
      </c>
      <c r="C410">
        <v>53</v>
      </c>
      <c r="D410" t="s">
        <v>12</v>
      </c>
      <c r="E410" s="5">
        <v>45980</v>
      </c>
      <c r="F410" s="5">
        <v>45981</v>
      </c>
      <c r="G410">
        <f t="shared" si="12"/>
        <v>1</v>
      </c>
      <c r="H410" t="s">
        <v>31</v>
      </c>
      <c r="I410" t="s">
        <v>114</v>
      </c>
      <c r="J410" s="2">
        <v>1471.29</v>
      </c>
      <c r="K410" s="6">
        <v>0.8</v>
      </c>
      <c r="L410" t="s">
        <v>15</v>
      </c>
      <c r="M410" s="3">
        <f t="shared" si="13"/>
        <v>1471.29</v>
      </c>
      <c r="N410" s="9" t="str" cm="1">
        <f t="array" ref="N410">_xlfn.IFS(C410&lt;18,"Under 18",C410&lt;36,"18-35",C410&lt;51,"36-50",C410&lt;66,"51-65",C410&gt;=66,"Above 65")</f>
        <v>51-65</v>
      </c>
      <c r="O410" s="6"/>
    </row>
    <row r="411" spans="1:15" x14ac:dyDescent="0.35">
      <c r="A411" t="s">
        <v>817</v>
      </c>
      <c r="B411" t="s">
        <v>818</v>
      </c>
      <c r="C411">
        <v>7</v>
      </c>
      <c r="D411" t="s">
        <v>18</v>
      </c>
      <c r="E411" s="5">
        <v>45755</v>
      </c>
      <c r="F411" s="5">
        <v>45759</v>
      </c>
      <c r="G411">
        <f t="shared" si="12"/>
        <v>4</v>
      </c>
      <c r="H411" t="s">
        <v>49</v>
      </c>
      <c r="I411" t="s">
        <v>50</v>
      </c>
      <c r="J411" s="2">
        <v>4671.33</v>
      </c>
      <c r="K411" s="6">
        <v>0.7</v>
      </c>
      <c r="L411" t="s">
        <v>15</v>
      </c>
      <c r="M411" s="3">
        <f t="shared" si="13"/>
        <v>4671.33</v>
      </c>
      <c r="N411" s="9" t="str" cm="1">
        <f t="array" ref="N411">_xlfn.IFS(C411&lt;18,"Under 18",C411&lt;36,"18-35",C411&lt;51,"36-50",C411&lt;66,"51-65",C411&gt;=66,"Above 65")</f>
        <v>Under 18</v>
      </c>
      <c r="O411" s="6"/>
    </row>
    <row r="412" spans="1:15" x14ac:dyDescent="0.35">
      <c r="A412" t="s">
        <v>819</v>
      </c>
      <c r="B412" t="s">
        <v>820</v>
      </c>
      <c r="C412">
        <v>56</v>
      </c>
      <c r="D412" t="s">
        <v>12</v>
      </c>
      <c r="E412" s="5">
        <v>46015</v>
      </c>
      <c r="F412" s="5">
        <v>46018</v>
      </c>
      <c r="G412">
        <f t="shared" si="12"/>
        <v>3</v>
      </c>
      <c r="H412" t="s">
        <v>23</v>
      </c>
      <c r="I412" t="s">
        <v>28</v>
      </c>
      <c r="J412" s="2">
        <v>3856.57</v>
      </c>
      <c r="K412" s="6">
        <v>0.7</v>
      </c>
      <c r="L412" t="s">
        <v>15</v>
      </c>
      <c r="M412" s="3">
        <f t="shared" si="13"/>
        <v>3856.57</v>
      </c>
      <c r="N412" s="9" t="str" cm="1">
        <f t="array" ref="N412">_xlfn.IFS(C412&lt;18,"Under 18",C412&lt;36,"18-35",C412&lt;51,"36-50",C412&lt;66,"51-65",C412&gt;=66,"Above 65")</f>
        <v>51-65</v>
      </c>
      <c r="O412" s="6"/>
    </row>
    <row r="413" spans="1:15" x14ac:dyDescent="0.35">
      <c r="A413" t="s">
        <v>821</v>
      </c>
      <c r="B413" t="s">
        <v>769</v>
      </c>
      <c r="C413">
        <v>42</v>
      </c>
      <c r="D413" t="s">
        <v>18</v>
      </c>
      <c r="E413" s="5">
        <v>45970</v>
      </c>
      <c r="F413" s="5">
        <v>45979</v>
      </c>
      <c r="G413">
        <f t="shared" si="12"/>
        <v>9</v>
      </c>
      <c r="H413" t="s">
        <v>13</v>
      </c>
      <c r="I413" t="s">
        <v>111</v>
      </c>
      <c r="J413" s="2">
        <v>22775.06</v>
      </c>
      <c r="K413" s="6">
        <v>0.8</v>
      </c>
      <c r="L413" t="s">
        <v>15</v>
      </c>
      <c r="M413" s="3">
        <f t="shared" si="13"/>
        <v>22775.06</v>
      </c>
      <c r="N413" s="9" t="str" cm="1">
        <f t="array" ref="N413">_xlfn.IFS(C413&lt;18,"Under 18",C413&lt;36,"18-35",C413&lt;51,"36-50",C413&lt;66,"51-65",C413&gt;=66,"Above 65")</f>
        <v>36-50</v>
      </c>
      <c r="O413" s="6"/>
    </row>
    <row r="414" spans="1:15" x14ac:dyDescent="0.35">
      <c r="A414" t="s">
        <v>822</v>
      </c>
      <c r="B414" t="s">
        <v>823</v>
      </c>
      <c r="C414">
        <v>53</v>
      </c>
      <c r="D414" t="s">
        <v>18</v>
      </c>
      <c r="E414" s="5">
        <v>45375</v>
      </c>
      <c r="F414" s="5">
        <v>45377</v>
      </c>
      <c r="G414">
        <f t="shared" si="12"/>
        <v>2</v>
      </c>
      <c r="H414" t="s">
        <v>23</v>
      </c>
      <c r="I414" t="s">
        <v>41</v>
      </c>
      <c r="J414" s="2">
        <v>2542.9899999999998</v>
      </c>
      <c r="K414" s="6">
        <v>0.6</v>
      </c>
      <c r="L414" t="s">
        <v>20</v>
      </c>
      <c r="M414" s="3">
        <f t="shared" si="13"/>
        <v>0</v>
      </c>
      <c r="N414" s="9" t="str" cm="1">
        <f t="array" ref="N414">_xlfn.IFS(C414&lt;18,"Under 18",C414&lt;36,"18-35",C414&lt;51,"36-50",C414&lt;66,"51-65",C414&gt;=66,"Above 65")</f>
        <v>51-65</v>
      </c>
      <c r="O414" s="6"/>
    </row>
    <row r="415" spans="1:15" x14ac:dyDescent="0.35">
      <c r="A415" t="s">
        <v>824</v>
      </c>
      <c r="B415" t="s">
        <v>825</v>
      </c>
      <c r="C415">
        <v>4</v>
      </c>
      <c r="D415" t="s">
        <v>18</v>
      </c>
      <c r="E415" s="5">
        <v>45840</v>
      </c>
      <c r="F415" s="5">
        <v>45844</v>
      </c>
      <c r="G415">
        <f t="shared" si="12"/>
        <v>4</v>
      </c>
      <c r="H415" t="s">
        <v>49</v>
      </c>
      <c r="I415" t="s">
        <v>117</v>
      </c>
      <c r="J415" s="2">
        <v>7044.38</v>
      </c>
      <c r="K415" s="6">
        <v>0.9</v>
      </c>
      <c r="L415" t="s">
        <v>15</v>
      </c>
      <c r="M415" s="3">
        <f t="shared" si="13"/>
        <v>7044.38</v>
      </c>
      <c r="N415" s="9" t="str" cm="1">
        <f t="array" ref="N415">_xlfn.IFS(C415&lt;18,"Under 18",C415&lt;36,"18-35",C415&lt;51,"36-50",C415&lt;66,"51-65",C415&gt;=66,"Above 65")</f>
        <v>Under 18</v>
      </c>
      <c r="O415" s="6"/>
    </row>
    <row r="416" spans="1:15" x14ac:dyDescent="0.35">
      <c r="A416" t="s">
        <v>826</v>
      </c>
      <c r="B416" t="s">
        <v>827</v>
      </c>
      <c r="C416">
        <v>11</v>
      </c>
      <c r="D416" t="s">
        <v>18</v>
      </c>
      <c r="E416" s="5">
        <v>45752</v>
      </c>
      <c r="F416" s="5">
        <v>45754</v>
      </c>
      <c r="G416">
        <f t="shared" si="12"/>
        <v>2</v>
      </c>
      <c r="H416" t="s">
        <v>49</v>
      </c>
      <c r="I416" t="s">
        <v>130</v>
      </c>
      <c r="J416" s="2">
        <v>3402.4</v>
      </c>
      <c r="K416" s="6">
        <v>0.9</v>
      </c>
      <c r="L416" t="s">
        <v>15</v>
      </c>
      <c r="M416" s="3">
        <f t="shared" si="13"/>
        <v>3402.4</v>
      </c>
      <c r="N416" s="9" t="str" cm="1">
        <f t="array" ref="N416">_xlfn.IFS(C416&lt;18,"Under 18",C416&lt;36,"18-35",C416&lt;51,"36-50",C416&lt;66,"51-65",C416&gt;=66,"Above 65")</f>
        <v>Under 18</v>
      </c>
      <c r="O416" s="6"/>
    </row>
    <row r="417" spans="1:15" x14ac:dyDescent="0.35">
      <c r="A417" t="s">
        <v>828</v>
      </c>
      <c r="B417" t="s">
        <v>306</v>
      </c>
      <c r="C417">
        <v>62</v>
      </c>
      <c r="D417" t="s">
        <v>18</v>
      </c>
      <c r="E417" s="5">
        <v>45540</v>
      </c>
      <c r="F417" s="5">
        <v>45545</v>
      </c>
      <c r="G417">
        <f t="shared" si="12"/>
        <v>5</v>
      </c>
      <c r="H417" t="s">
        <v>60</v>
      </c>
      <c r="I417" t="s">
        <v>142</v>
      </c>
      <c r="J417" s="2">
        <v>13881.6</v>
      </c>
      <c r="K417" s="6">
        <v>0.7</v>
      </c>
      <c r="L417" t="s">
        <v>15</v>
      </c>
      <c r="M417" s="3">
        <f t="shared" si="13"/>
        <v>13881.6</v>
      </c>
      <c r="N417" s="9" t="str" cm="1">
        <f t="array" ref="N417">_xlfn.IFS(C417&lt;18,"Under 18",C417&lt;36,"18-35",C417&lt;51,"36-50",C417&lt;66,"51-65",C417&gt;=66,"Above 65")</f>
        <v>51-65</v>
      </c>
      <c r="O417" s="6"/>
    </row>
    <row r="418" spans="1:15" x14ac:dyDescent="0.35">
      <c r="A418" t="s">
        <v>829</v>
      </c>
      <c r="B418" t="s">
        <v>830</v>
      </c>
      <c r="C418">
        <v>29</v>
      </c>
      <c r="D418" t="s">
        <v>12</v>
      </c>
      <c r="E418" s="5">
        <v>45748</v>
      </c>
      <c r="F418" s="5">
        <v>45750</v>
      </c>
      <c r="G418">
        <f t="shared" si="12"/>
        <v>2</v>
      </c>
      <c r="H418" t="s">
        <v>31</v>
      </c>
      <c r="I418" t="s">
        <v>234</v>
      </c>
      <c r="J418" s="2">
        <v>1362.39</v>
      </c>
      <c r="K418" s="6">
        <v>0.8</v>
      </c>
      <c r="L418" t="s">
        <v>15</v>
      </c>
      <c r="M418" s="3">
        <f t="shared" si="13"/>
        <v>1362.39</v>
      </c>
      <c r="N418" s="9" t="str" cm="1">
        <f t="array" ref="N418">_xlfn.IFS(C418&lt;18,"Under 18",C418&lt;36,"18-35",C418&lt;51,"36-50",C418&lt;66,"51-65",C418&gt;=66,"Above 65")</f>
        <v>18-35</v>
      </c>
      <c r="O418" s="6"/>
    </row>
    <row r="419" spans="1:15" x14ac:dyDescent="0.35">
      <c r="A419" t="s">
        <v>831</v>
      </c>
      <c r="B419" t="s">
        <v>34</v>
      </c>
      <c r="C419">
        <v>2</v>
      </c>
      <c r="D419" t="s">
        <v>12</v>
      </c>
      <c r="E419" s="5">
        <v>45297</v>
      </c>
      <c r="F419" s="5">
        <v>45302</v>
      </c>
      <c r="G419">
        <f t="shared" si="12"/>
        <v>5</v>
      </c>
      <c r="H419" t="s">
        <v>49</v>
      </c>
      <c r="I419" t="s">
        <v>130</v>
      </c>
      <c r="J419" s="2">
        <v>8510.7800000000007</v>
      </c>
      <c r="K419" s="6">
        <v>0.7</v>
      </c>
      <c r="L419" t="s">
        <v>15</v>
      </c>
      <c r="M419" s="3">
        <f t="shared" si="13"/>
        <v>8510.7800000000007</v>
      </c>
      <c r="N419" s="9" t="str" cm="1">
        <f t="array" ref="N419">_xlfn.IFS(C419&lt;18,"Under 18",C419&lt;36,"18-35",C419&lt;51,"36-50",C419&lt;66,"51-65",C419&gt;=66,"Above 65")</f>
        <v>Under 18</v>
      </c>
      <c r="O419" s="6"/>
    </row>
    <row r="420" spans="1:15" x14ac:dyDescent="0.35">
      <c r="A420" t="s">
        <v>832</v>
      </c>
      <c r="B420" t="s">
        <v>144</v>
      </c>
      <c r="C420">
        <v>67</v>
      </c>
      <c r="D420" t="s">
        <v>12</v>
      </c>
      <c r="E420" s="5">
        <v>45564</v>
      </c>
      <c r="F420" s="5">
        <v>45567</v>
      </c>
      <c r="G420">
        <f t="shared" si="12"/>
        <v>3</v>
      </c>
      <c r="H420" t="s">
        <v>31</v>
      </c>
      <c r="I420" t="s">
        <v>234</v>
      </c>
      <c r="J420" s="2">
        <v>2154.9699999999998</v>
      </c>
      <c r="K420" s="6">
        <v>0.9</v>
      </c>
      <c r="L420" t="s">
        <v>15</v>
      </c>
      <c r="M420" s="3">
        <f t="shared" si="13"/>
        <v>2154.9699999999998</v>
      </c>
      <c r="N420" s="9" t="str" cm="1">
        <f t="array" ref="N420">_xlfn.IFS(C420&lt;18,"Under 18",C420&lt;36,"18-35",C420&lt;51,"36-50",C420&lt;66,"51-65",C420&gt;=66,"Above 65")</f>
        <v>Above 65</v>
      </c>
      <c r="O420" s="6"/>
    </row>
    <row r="421" spans="1:15" x14ac:dyDescent="0.35">
      <c r="A421" t="s">
        <v>833</v>
      </c>
      <c r="B421" t="s">
        <v>216</v>
      </c>
      <c r="C421">
        <v>62</v>
      </c>
      <c r="D421" t="s">
        <v>18</v>
      </c>
      <c r="E421" s="5">
        <v>45428</v>
      </c>
      <c r="F421" s="5">
        <v>45431</v>
      </c>
      <c r="G421">
        <f t="shared" si="12"/>
        <v>3</v>
      </c>
      <c r="H421" t="s">
        <v>31</v>
      </c>
      <c r="I421" t="s">
        <v>234</v>
      </c>
      <c r="J421" s="2">
        <v>1950</v>
      </c>
      <c r="K421" s="6">
        <v>0.8</v>
      </c>
      <c r="L421" t="s">
        <v>20</v>
      </c>
      <c r="M421" s="3">
        <f t="shared" si="13"/>
        <v>0</v>
      </c>
      <c r="N421" s="9" t="str" cm="1">
        <f t="array" ref="N421">_xlfn.IFS(C421&lt;18,"Under 18",C421&lt;36,"18-35",C421&lt;51,"36-50",C421&lt;66,"51-65",C421&gt;=66,"Above 65")</f>
        <v>51-65</v>
      </c>
      <c r="O421" s="6"/>
    </row>
    <row r="422" spans="1:15" x14ac:dyDescent="0.35">
      <c r="A422" t="s">
        <v>834</v>
      </c>
      <c r="B422" t="s">
        <v>835</v>
      </c>
      <c r="C422">
        <v>72</v>
      </c>
      <c r="D422" t="s">
        <v>18</v>
      </c>
      <c r="E422" s="5">
        <v>45524</v>
      </c>
      <c r="F422" s="5">
        <v>45529</v>
      </c>
      <c r="G422">
        <f t="shared" si="12"/>
        <v>5</v>
      </c>
      <c r="H422" t="s">
        <v>60</v>
      </c>
      <c r="I422" t="s">
        <v>133</v>
      </c>
      <c r="J422" s="2">
        <v>5004.03</v>
      </c>
      <c r="K422" s="6">
        <v>1</v>
      </c>
      <c r="L422" t="s">
        <v>15</v>
      </c>
      <c r="M422" s="3">
        <f t="shared" si="13"/>
        <v>5004.03</v>
      </c>
      <c r="N422" s="9" t="str" cm="1">
        <f t="array" ref="N422">_xlfn.IFS(C422&lt;18,"Under 18",C422&lt;36,"18-35",C422&lt;51,"36-50",C422&lt;66,"51-65",C422&gt;=66,"Above 65")</f>
        <v>Above 65</v>
      </c>
      <c r="O422" s="6"/>
    </row>
    <row r="423" spans="1:15" x14ac:dyDescent="0.35">
      <c r="A423" t="s">
        <v>836</v>
      </c>
      <c r="B423" t="s">
        <v>504</v>
      </c>
      <c r="C423">
        <v>63</v>
      </c>
      <c r="D423" t="s">
        <v>12</v>
      </c>
      <c r="E423" s="5">
        <v>45376</v>
      </c>
      <c r="F423" s="5">
        <v>45383</v>
      </c>
      <c r="G423">
        <f t="shared" si="12"/>
        <v>7</v>
      </c>
      <c r="H423" t="s">
        <v>70</v>
      </c>
      <c r="I423" t="s">
        <v>157</v>
      </c>
      <c r="J423" s="2">
        <v>7752.04</v>
      </c>
      <c r="K423" s="6">
        <v>0.9</v>
      </c>
      <c r="L423" t="s">
        <v>15</v>
      </c>
      <c r="M423" s="3">
        <f t="shared" si="13"/>
        <v>7752.04</v>
      </c>
      <c r="N423" s="9" t="str" cm="1">
        <f t="array" ref="N423">_xlfn.IFS(C423&lt;18,"Under 18",C423&lt;36,"18-35",C423&lt;51,"36-50",C423&lt;66,"51-65",C423&gt;=66,"Above 65")</f>
        <v>51-65</v>
      </c>
      <c r="O423" s="6"/>
    </row>
    <row r="424" spans="1:15" x14ac:dyDescent="0.35">
      <c r="A424" t="s">
        <v>837</v>
      </c>
      <c r="B424" t="s">
        <v>239</v>
      </c>
      <c r="C424">
        <v>69</v>
      </c>
      <c r="D424" t="s">
        <v>12</v>
      </c>
      <c r="E424" s="5">
        <v>45331</v>
      </c>
      <c r="F424" s="5">
        <v>45336</v>
      </c>
      <c r="G424">
        <f t="shared" si="12"/>
        <v>5</v>
      </c>
      <c r="H424" t="s">
        <v>60</v>
      </c>
      <c r="I424" t="s">
        <v>97</v>
      </c>
      <c r="J424" s="2">
        <v>6986.97</v>
      </c>
      <c r="K424" s="6">
        <v>1</v>
      </c>
      <c r="L424" t="s">
        <v>20</v>
      </c>
      <c r="M424" s="3">
        <f t="shared" si="13"/>
        <v>0</v>
      </c>
      <c r="N424" s="9" t="str" cm="1">
        <f t="array" ref="N424">_xlfn.IFS(C424&lt;18,"Under 18",C424&lt;36,"18-35",C424&lt;51,"36-50",C424&lt;66,"51-65",C424&gt;=66,"Above 65")</f>
        <v>Above 65</v>
      </c>
      <c r="O424" s="6"/>
    </row>
    <row r="425" spans="1:15" x14ac:dyDescent="0.35">
      <c r="A425" t="s">
        <v>838</v>
      </c>
      <c r="B425" t="s">
        <v>839</v>
      </c>
      <c r="C425">
        <v>52</v>
      </c>
      <c r="D425" t="s">
        <v>12</v>
      </c>
      <c r="E425" s="5">
        <v>45966</v>
      </c>
      <c r="F425" s="5">
        <v>45967</v>
      </c>
      <c r="G425">
        <f t="shared" si="12"/>
        <v>1</v>
      </c>
      <c r="H425" t="s">
        <v>23</v>
      </c>
      <c r="I425" t="s">
        <v>333</v>
      </c>
      <c r="J425" s="2">
        <v>1744.21</v>
      </c>
      <c r="K425" s="6">
        <v>0.8</v>
      </c>
      <c r="L425" t="s">
        <v>20</v>
      </c>
      <c r="M425" s="3">
        <f t="shared" si="13"/>
        <v>0</v>
      </c>
      <c r="N425" s="9" t="str" cm="1">
        <f t="array" ref="N425">_xlfn.IFS(C425&lt;18,"Under 18",C425&lt;36,"18-35",C425&lt;51,"36-50",C425&lt;66,"51-65",C425&gt;=66,"Above 65")</f>
        <v>51-65</v>
      </c>
      <c r="O425" s="6"/>
    </row>
    <row r="426" spans="1:15" x14ac:dyDescent="0.35">
      <c r="A426" t="s">
        <v>840</v>
      </c>
      <c r="B426" t="s">
        <v>841</v>
      </c>
      <c r="C426">
        <v>28</v>
      </c>
      <c r="D426" t="s">
        <v>18</v>
      </c>
      <c r="E426" s="5">
        <v>45307</v>
      </c>
      <c r="F426" s="5">
        <v>45320</v>
      </c>
      <c r="G426">
        <f t="shared" si="12"/>
        <v>13</v>
      </c>
      <c r="H426" t="s">
        <v>60</v>
      </c>
      <c r="I426" t="s">
        <v>142</v>
      </c>
      <c r="J426" s="2">
        <v>23326.29</v>
      </c>
      <c r="K426" s="6">
        <v>0.6</v>
      </c>
      <c r="L426" t="s">
        <v>15</v>
      </c>
      <c r="M426" s="3">
        <f t="shared" si="13"/>
        <v>23326.29</v>
      </c>
      <c r="N426" s="9" t="str" cm="1">
        <f t="array" ref="N426">_xlfn.IFS(C426&lt;18,"Under 18",C426&lt;36,"18-35",C426&lt;51,"36-50",C426&lt;66,"51-65",C426&gt;=66,"Above 65")</f>
        <v>18-35</v>
      </c>
      <c r="O426" s="6"/>
    </row>
    <row r="427" spans="1:15" x14ac:dyDescent="0.35">
      <c r="A427" t="s">
        <v>842</v>
      </c>
      <c r="B427" t="s">
        <v>843</v>
      </c>
      <c r="C427">
        <v>51</v>
      </c>
      <c r="D427" t="s">
        <v>18</v>
      </c>
      <c r="E427" s="5">
        <v>45925</v>
      </c>
      <c r="F427" s="5">
        <v>45932</v>
      </c>
      <c r="G427">
        <f t="shared" si="12"/>
        <v>7</v>
      </c>
      <c r="H427" t="s">
        <v>31</v>
      </c>
      <c r="I427" t="s">
        <v>35</v>
      </c>
      <c r="J427" s="2">
        <v>5587.17</v>
      </c>
      <c r="K427" s="6">
        <v>0.7</v>
      </c>
      <c r="L427" t="s">
        <v>20</v>
      </c>
      <c r="M427" s="3">
        <f t="shared" si="13"/>
        <v>0</v>
      </c>
      <c r="N427" s="9" t="str" cm="1">
        <f t="array" ref="N427">_xlfn.IFS(C427&lt;18,"Under 18",C427&lt;36,"18-35",C427&lt;51,"36-50",C427&lt;66,"51-65",C427&gt;=66,"Above 65")</f>
        <v>51-65</v>
      </c>
      <c r="O427" s="6"/>
    </row>
    <row r="428" spans="1:15" x14ac:dyDescent="0.35">
      <c r="A428" t="s">
        <v>844</v>
      </c>
      <c r="B428" t="s">
        <v>478</v>
      </c>
      <c r="C428">
        <v>46</v>
      </c>
      <c r="D428" t="s">
        <v>18</v>
      </c>
      <c r="E428" s="5">
        <v>45796</v>
      </c>
      <c r="F428" s="5">
        <v>45809</v>
      </c>
      <c r="G428">
        <f t="shared" si="12"/>
        <v>13</v>
      </c>
      <c r="H428" t="s">
        <v>60</v>
      </c>
      <c r="I428" t="s">
        <v>133</v>
      </c>
      <c r="J428" s="2">
        <v>19329.240000000002</v>
      </c>
      <c r="K428" s="6">
        <v>0.8</v>
      </c>
      <c r="L428" t="s">
        <v>15</v>
      </c>
      <c r="M428" s="3">
        <f t="shared" si="13"/>
        <v>19329.240000000002</v>
      </c>
      <c r="N428" s="9" t="str" cm="1">
        <f t="array" ref="N428">_xlfn.IFS(C428&lt;18,"Under 18",C428&lt;36,"18-35",C428&lt;51,"36-50",C428&lt;66,"51-65",C428&gt;=66,"Above 65")</f>
        <v>36-50</v>
      </c>
      <c r="O428" s="6"/>
    </row>
    <row r="429" spans="1:15" x14ac:dyDescent="0.35">
      <c r="A429" t="s">
        <v>845</v>
      </c>
      <c r="B429" t="s">
        <v>846</v>
      </c>
      <c r="C429">
        <v>46</v>
      </c>
      <c r="D429" t="s">
        <v>12</v>
      </c>
      <c r="E429" s="5">
        <v>45702</v>
      </c>
      <c r="F429" s="5">
        <v>45710</v>
      </c>
      <c r="G429">
        <f t="shared" si="12"/>
        <v>8</v>
      </c>
      <c r="H429" t="s">
        <v>13</v>
      </c>
      <c r="I429" t="s">
        <v>14</v>
      </c>
      <c r="J429" s="2">
        <v>20311.28</v>
      </c>
      <c r="K429" s="6">
        <v>0</v>
      </c>
      <c r="L429" t="s">
        <v>20</v>
      </c>
      <c r="M429" s="3">
        <f t="shared" si="13"/>
        <v>0</v>
      </c>
      <c r="N429" s="9" t="str" cm="1">
        <f t="array" ref="N429">_xlfn.IFS(C429&lt;18,"Under 18",C429&lt;36,"18-35",C429&lt;51,"36-50",C429&lt;66,"51-65",C429&gt;=66,"Above 65")</f>
        <v>36-50</v>
      </c>
      <c r="O429" s="6"/>
    </row>
    <row r="430" spans="1:15" x14ac:dyDescent="0.35">
      <c r="A430" t="s">
        <v>847</v>
      </c>
      <c r="B430" t="s">
        <v>848</v>
      </c>
      <c r="C430">
        <v>73</v>
      </c>
      <c r="D430" t="s">
        <v>18</v>
      </c>
      <c r="E430" s="5">
        <v>45933</v>
      </c>
      <c r="F430" s="5">
        <v>45936</v>
      </c>
      <c r="G430">
        <f t="shared" si="12"/>
        <v>3</v>
      </c>
      <c r="H430" t="s">
        <v>23</v>
      </c>
      <c r="I430" t="s">
        <v>24</v>
      </c>
      <c r="J430" s="2">
        <v>2647.99</v>
      </c>
      <c r="K430" s="6">
        <v>0.8</v>
      </c>
      <c r="L430" t="s">
        <v>20</v>
      </c>
      <c r="M430" s="3">
        <f t="shared" si="13"/>
        <v>0</v>
      </c>
      <c r="N430" s="9" t="str" cm="1">
        <f t="array" ref="N430">_xlfn.IFS(C430&lt;18,"Under 18",C430&lt;36,"18-35",C430&lt;51,"36-50",C430&lt;66,"51-65",C430&gt;=66,"Above 65")</f>
        <v>Above 65</v>
      </c>
      <c r="O430" s="6"/>
    </row>
    <row r="431" spans="1:15" x14ac:dyDescent="0.35">
      <c r="A431" t="s">
        <v>849</v>
      </c>
      <c r="B431" t="s">
        <v>850</v>
      </c>
      <c r="C431">
        <v>14</v>
      </c>
      <c r="D431" t="s">
        <v>18</v>
      </c>
      <c r="E431" s="5">
        <v>46005</v>
      </c>
      <c r="F431" s="5">
        <v>46007</v>
      </c>
      <c r="G431">
        <f t="shared" si="12"/>
        <v>2</v>
      </c>
      <c r="H431" t="s">
        <v>49</v>
      </c>
      <c r="I431" t="s">
        <v>120</v>
      </c>
      <c r="J431" s="2">
        <v>3396.48</v>
      </c>
      <c r="K431" s="6">
        <v>0.9</v>
      </c>
      <c r="L431" t="s">
        <v>15</v>
      </c>
      <c r="M431" s="3">
        <f t="shared" si="13"/>
        <v>3396.48</v>
      </c>
      <c r="N431" s="9" t="str" cm="1">
        <f t="array" ref="N431">_xlfn.IFS(C431&lt;18,"Under 18",C431&lt;36,"18-35",C431&lt;51,"36-50",C431&lt;66,"51-65",C431&gt;=66,"Above 65")</f>
        <v>Under 18</v>
      </c>
      <c r="O431" s="6"/>
    </row>
    <row r="432" spans="1:15" x14ac:dyDescent="0.35">
      <c r="A432" t="s">
        <v>851</v>
      </c>
      <c r="B432" t="s">
        <v>852</v>
      </c>
      <c r="C432">
        <v>82</v>
      </c>
      <c r="D432" t="s">
        <v>12</v>
      </c>
      <c r="E432" s="5">
        <v>45341</v>
      </c>
      <c r="F432" s="5">
        <v>45348</v>
      </c>
      <c r="G432">
        <f t="shared" si="12"/>
        <v>7</v>
      </c>
      <c r="H432" t="s">
        <v>31</v>
      </c>
      <c r="I432" t="s">
        <v>87</v>
      </c>
      <c r="J432" s="2">
        <v>9947.52</v>
      </c>
      <c r="K432" s="6">
        <v>0.6</v>
      </c>
      <c r="L432" t="s">
        <v>20</v>
      </c>
      <c r="M432" s="3">
        <f t="shared" si="13"/>
        <v>0</v>
      </c>
      <c r="N432" s="9" t="str" cm="1">
        <f t="array" ref="N432">_xlfn.IFS(C432&lt;18,"Under 18",C432&lt;36,"18-35",C432&lt;51,"36-50",C432&lt;66,"51-65",C432&gt;=66,"Above 65")</f>
        <v>Above 65</v>
      </c>
      <c r="O432" s="6"/>
    </row>
    <row r="433" spans="1:15" x14ac:dyDescent="0.35">
      <c r="A433" t="s">
        <v>853</v>
      </c>
      <c r="B433" t="s">
        <v>854</v>
      </c>
      <c r="C433">
        <v>11</v>
      </c>
      <c r="D433" t="s">
        <v>18</v>
      </c>
      <c r="E433" s="5">
        <v>45458</v>
      </c>
      <c r="F433" s="5">
        <v>45460</v>
      </c>
      <c r="G433">
        <f t="shared" si="12"/>
        <v>2</v>
      </c>
      <c r="H433" t="s">
        <v>49</v>
      </c>
      <c r="I433" t="s">
        <v>123</v>
      </c>
      <c r="J433" s="2">
        <v>2103.42</v>
      </c>
      <c r="K433" s="6">
        <v>0.6</v>
      </c>
      <c r="L433" t="s">
        <v>20</v>
      </c>
      <c r="M433" s="3">
        <f t="shared" si="13"/>
        <v>0</v>
      </c>
      <c r="N433" s="9" t="str" cm="1">
        <f t="array" ref="N433">_xlfn.IFS(C433&lt;18,"Under 18",C433&lt;36,"18-35",C433&lt;51,"36-50",C433&lt;66,"51-65",C433&gt;=66,"Above 65")</f>
        <v>Under 18</v>
      </c>
      <c r="O433" s="6"/>
    </row>
    <row r="434" spans="1:15" x14ac:dyDescent="0.35">
      <c r="A434" t="s">
        <v>855</v>
      </c>
      <c r="B434" t="s">
        <v>856</v>
      </c>
      <c r="C434">
        <v>41</v>
      </c>
      <c r="D434" t="s">
        <v>18</v>
      </c>
      <c r="E434" s="5">
        <v>45476</v>
      </c>
      <c r="F434" s="5">
        <v>45486</v>
      </c>
      <c r="G434">
        <f t="shared" si="12"/>
        <v>10</v>
      </c>
      <c r="H434" t="s">
        <v>60</v>
      </c>
      <c r="I434" t="s">
        <v>97</v>
      </c>
      <c r="J434" s="2">
        <v>20914.48</v>
      </c>
      <c r="K434" s="6">
        <v>0.5</v>
      </c>
      <c r="L434" t="s">
        <v>20</v>
      </c>
      <c r="M434" s="3">
        <f t="shared" si="13"/>
        <v>0</v>
      </c>
      <c r="N434" s="9" t="str" cm="1">
        <f t="array" ref="N434">_xlfn.IFS(C434&lt;18,"Under 18",C434&lt;36,"18-35",C434&lt;51,"36-50",C434&lt;66,"51-65",C434&gt;=66,"Above 65")</f>
        <v>36-50</v>
      </c>
      <c r="O434" s="6"/>
    </row>
    <row r="435" spans="1:15" x14ac:dyDescent="0.35">
      <c r="A435" t="s">
        <v>857</v>
      </c>
      <c r="B435" t="s">
        <v>858</v>
      </c>
      <c r="C435">
        <v>57</v>
      </c>
      <c r="D435" t="s">
        <v>12</v>
      </c>
      <c r="E435" s="5">
        <v>45510</v>
      </c>
      <c r="F435" s="5">
        <v>45521</v>
      </c>
      <c r="G435">
        <f t="shared" si="12"/>
        <v>11</v>
      </c>
      <c r="H435" t="s">
        <v>60</v>
      </c>
      <c r="I435" t="s">
        <v>97</v>
      </c>
      <c r="J435" s="2">
        <v>16613.29</v>
      </c>
      <c r="K435" s="6">
        <v>0.6</v>
      </c>
      <c r="L435" t="s">
        <v>25</v>
      </c>
      <c r="M435" s="3">
        <f t="shared" si="13"/>
        <v>0</v>
      </c>
      <c r="N435" s="9" t="str" cm="1">
        <f t="array" ref="N435">_xlfn.IFS(C435&lt;18,"Under 18",C435&lt;36,"18-35",C435&lt;51,"36-50",C435&lt;66,"51-65",C435&gt;=66,"Above 65")</f>
        <v>51-65</v>
      </c>
      <c r="O435" s="6"/>
    </row>
    <row r="436" spans="1:15" x14ac:dyDescent="0.35">
      <c r="A436" t="s">
        <v>859</v>
      </c>
      <c r="B436" t="s">
        <v>502</v>
      </c>
      <c r="C436">
        <v>62</v>
      </c>
      <c r="D436" t="s">
        <v>18</v>
      </c>
      <c r="E436" s="5">
        <v>45631</v>
      </c>
      <c r="F436" s="5">
        <v>45644</v>
      </c>
      <c r="G436">
        <f t="shared" si="12"/>
        <v>13</v>
      </c>
      <c r="H436" t="s">
        <v>60</v>
      </c>
      <c r="I436" t="s">
        <v>133</v>
      </c>
      <c r="J436" s="2">
        <v>23037.14</v>
      </c>
      <c r="K436" s="6">
        <v>0.7</v>
      </c>
      <c r="L436" t="s">
        <v>15</v>
      </c>
      <c r="M436" s="3">
        <f t="shared" si="13"/>
        <v>23037.14</v>
      </c>
      <c r="N436" s="9" t="str" cm="1">
        <f t="array" ref="N436">_xlfn.IFS(C436&lt;18,"Under 18",C436&lt;36,"18-35",C436&lt;51,"36-50",C436&lt;66,"51-65",C436&gt;=66,"Above 65")</f>
        <v>51-65</v>
      </c>
      <c r="O436" s="6"/>
    </row>
    <row r="437" spans="1:15" x14ac:dyDescent="0.35">
      <c r="A437" t="s">
        <v>860</v>
      </c>
      <c r="B437" t="s">
        <v>861</v>
      </c>
      <c r="C437">
        <v>23</v>
      </c>
      <c r="D437" t="s">
        <v>12</v>
      </c>
      <c r="E437" s="5">
        <v>45653</v>
      </c>
      <c r="F437" s="5">
        <v>45654</v>
      </c>
      <c r="G437">
        <f t="shared" si="12"/>
        <v>1</v>
      </c>
      <c r="H437" t="s">
        <v>31</v>
      </c>
      <c r="I437" t="s">
        <v>114</v>
      </c>
      <c r="J437" s="2">
        <v>618.74</v>
      </c>
      <c r="K437" s="6">
        <v>0.8</v>
      </c>
      <c r="L437" t="s">
        <v>15</v>
      </c>
      <c r="M437" s="3">
        <f t="shared" si="13"/>
        <v>618.74</v>
      </c>
      <c r="N437" s="9" t="str" cm="1">
        <f t="array" ref="N437">_xlfn.IFS(C437&lt;18,"Under 18",C437&lt;36,"18-35",C437&lt;51,"36-50",C437&lt;66,"51-65",C437&gt;=66,"Above 65")</f>
        <v>18-35</v>
      </c>
      <c r="O437" s="6"/>
    </row>
    <row r="438" spans="1:15" x14ac:dyDescent="0.35">
      <c r="A438" t="s">
        <v>862</v>
      </c>
      <c r="B438" t="s">
        <v>863</v>
      </c>
      <c r="C438">
        <v>42</v>
      </c>
      <c r="D438" t="s">
        <v>12</v>
      </c>
      <c r="E438" s="5">
        <v>45952</v>
      </c>
      <c r="F438" s="5">
        <v>45955</v>
      </c>
      <c r="G438">
        <f t="shared" si="12"/>
        <v>3</v>
      </c>
      <c r="H438" t="s">
        <v>31</v>
      </c>
      <c r="I438" t="s">
        <v>35</v>
      </c>
      <c r="J438" s="2">
        <v>3292.07</v>
      </c>
      <c r="K438" s="6">
        <v>0.5</v>
      </c>
      <c r="L438" t="s">
        <v>15</v>
      </c>
      <c r="M438" s="3">
        <f t="shared" si="13"/>
        <v>3292.07</v>
      </c>
      <c r="N438" s="9" t="str" cm="1">
        <f t="array" ref="N438">_xlfn.IFS(C438&lt;18,"Under 18",C438&lt;36,"18-35",C438&lt;51,"36-50",C438&lt;66,"51-65",C438&gt;=66,"Above 65")</f>
        <v>36-50</v>
      </c>
      <c r="O438" s="6"/>
    </row>
    <row r="439" spans="1:15" x14ac:dyDescent="0.35">
      <c r="A439" t="s">
        <v>864</v>
      </c>
      <c r="B439" t="s">
        <v>630</v>
      </c>
      <c r="C439">
        <v>48</v>
      </c>
      <c r="D439" t="s">
        <v>12</v>
      </c>
      <c r="E439" s="5">
        <v>45292</v>
      </c>
      <c r="F439" s="5">
        <v>45296</v>
      </c>
      <c r="G439">
        <f t="shared" si="12"/>
        <v>4</v>
      </c>
      <c r="H439" t="s">
        <v>31</v>
      </c>
      <c r="I439" t="s">
        <v>44</v>
      </c>
      <c r="J439" s="2">
        <v>5249.64</v>
      </c>
      <c r="K439" s="6">
        <v>0.9</v>
      </c>
      <c r="L439" t="s">
        <v>15</v>
      </c>
      <c r="M439" s="3">
        <f t="shared" si="13"/>
        <v>5249.64</v>
      </c>
      <c r="N439" s="9" t="str" cm="1">
        <f t="array" ref="N439">_xlfn.IFS(C439&lt;18,"Under 18",C439&lt;36,"18-35",C439&lt;51,"36-50",C439&lt;66,"51-65",C439&gt;=66,"Above 65")</f>
        <v>36-50</v>
      </c>
      <c r="O439" s="6"/>
    </row>
    <row r="440" spans="1:15" x14ac:dyDescent="0.35">
      <c r="A440" t="s">
        <v>865</v>
      </c>
      <c r="B440" t="s">
        <v>866</v>
      </c>
      <c r="C440">
        <v>71</v>
      </c>
      <c r="D440" t="s">
        <v>12</v>
      </c>
      <c r="E440" s="5">
        <v>45885</v>
      </c>
      <c r="F440" s="5">
        <v>45890</v>
      </c>
      <c r="G440">
        <f t="shared" si="12"/>
        <v>5</v>
      </c>
      <c r="H440" t="s">
        <v>60</v>
      </c>
      <c r="I440" t="s">
        <v>77</v>
      </c>
      <c r="J440" s="2">
        <v>5726.98</v>
      </c>
      <c r="K440" s="6">
        <v>0.8</v>
      </c>
      <c r="L440" t="s">
        <v>15</v>
      </c>
      <c r="M440" s="3">
        <f t="shared" si="13"/>
        <v>5726.98</v>
      </c>
      <c r="N440" s="9" t="str" cm="1">
        <f t="array" ref="N440">_xlfn.IFS(C440&lt;18,"Under 18",C440&lt;36,"18-35",C440&lt;51,"36-50",C440&lt;66,"51-65",C440&gt;=66,"Above 65")</f>
        <v>Above 65</v>
      </c>
      <c r="O440" s="6"/>
    </row>
    <row r="441" spans="1:15" x14ac:dyDescent="0.35">
      <c r="A441" t="s">
        <v>867</v>
      </c>
      <c r="B441" t="s">
        <v>868</v>
      </c>
      <c r="C441">
        <v>16</v>
      </c>
      <c r="D441" t="s">
        <v>12</v>
      </c>
      <c r="E441" s="5">
        <v>45424</v>
      </c>
      <c r="F441" s="5">
        <v>45426</v>
      </c>
      <c r="G441">
        <f t="shared" si="12"/>
        <v>2</v>
      </c>
      <c r="H441" t="s">
        <v>49</v>
      </c>
      <c r="I441" t="s">
        <v>117</v>
      </c>
      <c r="J441" s="2">
        <v>3417.93</v>
      </c>
      <c r="K441" s="6">
        <v>1</v>
      </c>
      <c r="L441" t="s">
        <v>15</v>
      </c>
      <c r="M441" s="3">
        <f t="shared" si="13"/>
        <v>3417.93</v>
      </c>
      <c r="N441" s="9" t="str" cm="1">
        <f t="array" ref="N441">_xlfn.IFS(C441&lt;18,"Under 18",C441&lt;36,"18-35",C441&lt;51,"36-50",C441&lt;66,"51-65",C441&gt;=66,"Above 65")</f>
        <v>Under 18</v>
      </c>
      <c r="O441" s="6"/>
    </row>
    <row r="442" spans="1:15" x14ac:dyDescent="0.35">
      <c r="A442" t="s">
        <v>869</v>
      </c>
      <c r="B442" t="s">
        <v>870</v>
      </c>
      <c r="C442">
        <v>73</v>
      </c>
      <c r="D442" t="s">
        <v>18</v>
      </c>
      <c r="E442" s="5">
        <v>45542</v>
      </c>
      <c r="F442" s="5">
        <v>45549</v>
      </c>
      <c r="G442">
        <f t="shared" si="12"/>
        <v>7</v>
      </c>
      <c r="H442" t="s">
        <v>31</v>
      </c>
      <c r="I442" t="s">
        <v>32</v>
      </c>
      <c r="J442" s="2">
        <v>4075.7</v>
      </c>
      <c r="K442" s="6">
        <v>1</v>
      </c>
      <c r="L442" t="s">
        <v>15</v>
      </c>
      <c r="M442" s="3">
        <f t="shared" si="13"/>
        <v>4075.7</v>
      </c>
      <c r="N442" s="9" t="str" cm="1">
        <f t="array" ref="N442">_xlfn.IFS(C442&lt;18,"Under 18",C442&lt;36,"18-35",C442&lt;51,"36-50",C442&lt;66,"51-65",C442&gt;=66,"Above 65")</f>
        <v>Above 65</v>
      </c>
      <c r="O442" s="6"/>
    </row>
    <row r="443" spans="1:15" x14ac:dyDescent="0.35">
      <c r="A443" t="s">
        <v>871</v>
      </c>
      <c r="B443" t="s">
        <v>872</v>
      </c>
      <c r="C443">
        <v>17</v>
      </c>
      <c r="D443" t="s">
        <v>12</v>
      </c>
      <c r="E443" s="5">
        <v>45707</v>
      </c>
      <c r="F443" s="5">
        <v>45709</v>
      </c>
      <c r="G443">
        <f t="shared" si="12"/>
        <v>2</v>
      </c>
      <c r="H443" t="s">
        <v>49</v>
      </c>
      <c r="I443" t="s">
        <v>117</v>
      </c>
      <c r="J443" s="2">
        <v>1245.26</v>
      </c>
      <c r="K443" s="6">
        <v>1</v>
      </c>
      <c r="L443" t="s">
        <v>15</v>
      </c>
      <c r="M443" s="3">
        <f t="shared" si="13"/>
        <v>1245.26</v>
      </c>
      <c r="N443" s="9" t="str" cm="1">
        <f t="array" ref="N443">_xlfn.IFS(C443&lt;18,"Under 18",C443&lt;36,"18-35",C443&lt;51,"36-50",C443&lt;66,"51-65",C443&gt;=66,"Above 65")</f>
        <v>Under 18</v>
      </c>
      <c r="O443" s="6"/>
    </row>
    <row r="444" spans="1:15" x14ac:dyDescent="0.35">
      <c r="A444" t="s">
        <v>873</v>
      </c>
      <c r="B444" t="s">
        <v>874</v>
      </c>
      <c r="C444">
        <v>49</v>
      </c>
      <c r="D444" t="s">
        <v>12</v>
      </c>
      <c r="E444" s="5">
        <v>45904</v>
      </c>
      <c r="F444" s="5">
        <v>45905</v>
      </c>
      <c r="G444">
        <f t="shared" si="12"/>
        <v>1</v>
      </c>
      <c r="H444" t="s">
        <v>31</v>
      </c>
      <c r="I444" t="s">
        <v>87</v>
      </c>
      <c r="J444" s="2">
        <v>1338.57</v>
      </c>
      <c r="K444" s="6">
        <v>1</v>
      </c>
      <c r="L444" t="s">
        <v>20</v>
      </c>
      <c r="M444" s="3">
        <f t="shared" si="13"/>
        <v>0</v>
      </c>
      <c r="N444" s="9" t="str" cm="1">
        <f t="array" ref="N444">_xlfn.IFS(C444&lt;18,"Under 18",C444&lt;36,"18-35",C444&lt;51,"36-50",C444&lt;66,"51-65",C444&gt;=66,"Above 65")</f>
        <v>36-50</v>
      </c>
      <c r="O444" s="6"/>
    </row>
    <row r="445" spans="1:15" x14ac:dyDescent="0.35">
      <c r="A445" t="s">
        <v>875</v>
      </c>
      <c r="B445" t="s">
        <v>622</v>
      </c>
      <c r="C445">
        <v>41</v>
      </c>
      <c r="D445" t="s">
        <v>18</v>
      </c>
      <c r="E445" s="5">
        <v>45761</v>
      </c>
      <c r="F445" s="5">
        <v>45768</v>
      </c>
      <c r="G445">
        <f t="shared" si="12"/>
        <v>7</v>
      </c>
      <c r="H445" t="s">
        <v>70</v>
      </c>
      <c r="I445" t="s">
        <v>295</v>
      </c>
      <c r="J445" s="2">
        <v>11778.46</v>
      </c>
      <c r="K445" s="6">
        <v>0.6</v>
      </c>
      <c r="L445" t="s">
        <v>25</v>
      </c>
      <c r="M445" s="3">
        <f t="shared" si="13"/>
        <v>0</v>
      </c>
      <c r="N445" s="9" t="str" cm="1">
        <f t="array" ref="N445">_xlfn.IFS(C445&lt;18,"Under 18",C445&lt;36,"18-35",C445&lt;51,"36-50",C445&lt;66,"51-65",C445&gt;=66,"Above 65")</f>
        <v>36-50</v>
      </c>
      <c r="O445" s="6"/>
    </row>
    <row r="446" spans="1:15" x14ac:dyDescent="0.35">
      <c r="A446" t="s">
        <v>876</v>
      </c>
      <c r="B446" t="s">
        <v>877</v>
      </c>
      <c r="C446">
        <v>65</v>
      </c>
      <c r="D446" t="s">
        <v>12</v>
      </c>
      <c r="E446" s="5">
        <v>45675</v>
      </c>
      <c r="F446" s="5">
        <v>45678</v>
      </c>
      <c r="G446">
        <f t="shared" si="12"/>
        <v>3</v>
      </c>
      <c r="H446" t="s">
        <v>13</v>
      </c>
      <c r="I446" t="s">
        <v>165</v>
      </c>
      <c r="J446" s="2">
        <v>6875.63</v>
      </c>
      <c r="K446" s="6">
        <v>0.7</v>
      </c>
      <c r="L446" t="s">
        <v>20</v>
      </c>
      <c r="M446" s="3">
        <f t="shared" si="13"/>
        <v>0</v>
      </c>
      <c r="N446" s="9" t="str" cm="1">
        <f t="array" ref="N446">_xlfn.IFS(C446&lt;18,"Under 18",C446&lt;36,"18-35",C446&lt;51,"36-50",C446&lt;66,"51-65",C446&gt;=66,"Above 65")</f>
        <v>51-65</v>
      </c>
      <c r="O446" s="6"/>
    </row>
    <row r="447" spans="1:15" x14ac:dyDescent="0.35">
      <c r="A447" t="s">
        <v>878</v>
      </c>
      <c r="B447" t="s">
        <v>879</v>
      </c>
      <c r="C447">
        <v>36</v>
      </c>
      <c r="D447" t="s">
        <v>12</v>
      </c>
      <c r="E447" s="5">
        <v>45833</v>
      </c>
      <c r="F447" s="5">
        <v>45838</v>
      </c>
      <c r="G447">
        <f t="shared" si="12"/>
        <v>5</v>
      </c>
      <c r="H447" t="s">
        <v>31</v>
      </c>
      <c r="I447" t="s">
        <v>87</v>
      </c>
      <c r="J447" s="2">
        <v>4520</v>
      </c>
      <c r="K447" s="6">
        <v>0.9</v>
      </c>
      <c r="L447" t="s">
        <v>15</v>
      </c>
      <c r="M447" s="3">
        <f t="shared" si="13"/>
        <v>4520</v>
      </c>
      <c r="N447" s="9" t="str" cm="1">
        <f t="array" ref="N447">_xlfn.IFS(C447&lt;18,"Under 18",C447&lt;36,"18-35",C447&lt;51,"36-50",C447&lt;66,"51-65",C447&gt;=66,"Above 65")</f>
        <v>36-50</v>
      </c>
      <c r="O447" s="6"/>
    </row>
    <row r="448" spans="1:15" x14ac:dyDescent="0.35">
      <c r="A448" t="s">
        <v>880</v>
      </c>
      <c r="B448" t="s">
        <v>881</v>
      </c>
      <c r="C448">
        <v>47</v>
      </c>
      <c r="D448" t="s">
        <v>12</v>
      </c>
      <c r="E448" s="5">
        <v>45296</v>
      </c>
      <c r="F448" s="5">
        <v>45307</v>
      </c>
      <c r="G448">
        <f t="shared" si="12"/>
        <v>11</v>
      </c>
      <c r="H448" t="s">
        <v>60</v>
      </c>
      <c r="I448" t="s">
        <v>74</v>
      </c>
      <c r="J448" s="2">
        <v>11719.07</v>
      </c>
      <c r="K448" s="6">
        <v>0.8</v>
      </c>
      <c r="L448" t="s">
        <v>15</v>
      </c>
      <c r="M448" s="3">
        <f t="shared" si="13"/>
        <v>11719.07</v>
      </c>
      <c r="N448" s="9" t="str" cm="1">
        <f t="array" ref="N448">_xlfn.IFS(C448&lt;18,"Under 18",C448&lt;36,"18-35",C448&lt;51,"36-50",C448&lt;66,"51-65",C448&gt;=66,"Above 65")</f>
        <v>36-50</v>
      </c>
      <c r="O448" s="6"/>
    </row>
    <row r="449" spans="1:15" x14ac:dyDescent="0.35">
      <c r="A449" t="s">
        <v>882</v>
      </c>
      <c r="B449" t="s">
        <v>883</v>
      </c>
      <c r="C449">
        <v>74</v>
      </c>
      <c r="D449" t="s">
        <v>18</v>
      </c>
      <c r="E449" s="5">
        <v>45846</v>
      </c>
      <c r="F449" s="5">
        <v>45857</v>
      </c>
      <c r="G449">
        <f t="shared" si="12"/>
        <v>11</v>
      </c>
      <c r="H449" t="s">
        <v>70</v>
      </c>
      <c r="I449" t="s">
        <v>237</v>
      </c>
      <c r="J449" s="2">
        <v>13712.17</v>
      </c>
      <c r="K449" s="6">
        <v>0.8</v>
      </c>
      <c r="L449" t="s">
        <v>15</v>
      </c>
      <c r="M449" s="3">
        <f t="shared" si="13"/>
        <v>13712.17</v>
      </c>
      <c r="N449" s="9" t="str" cm="1">
        <f t="array" ref="N449">_xlfn.IFS(C449&lt;18,"Under 18",C449&lt;36,"18-35",C449&lt;51,"36-50",C449&lt;66,"51-65",C449&gt;=66,"Above 65")</f>
        <v>Above 65</v>
      </c>
      <c r="O449" s="6"/>
    </row>
    <row r="450" spans="1:15" x14ac:dyDescent="0.35">
      <c r="A450" t="s">
        <v>884</v>
      </c>
      <c r="B450" t="s">
        <v>290</v>
      </c>
      <c r="C450">
        <v>73</v>
      </c>
      <c r="D450" t="s">
        <v>12</v>
      </c>
      <c r="E450" s="5">
        <v>45540</v>
      </c>
      <c r="F450" s="5">
        <v>45541</v>
      </c>
      <c r="G450">
        <f t="shared" si="12"/>
        <v>1</v>
      </c>
      <c r="H450" t="s">
        <v>23</v>
      </c>
      <c r="I450" t="s">
        <v>204</v>
      </c>
      <c r="J450" s="2">
        <v>2492.86</v>
      </c>
      <c r="K450" s="6">
        <v>1</v>
      </c>
      <c r="L450" t="s">
        <v>15</v>
      </c>
      <c r="M450" s="3">
        <f t="shared" si="13"/>
        <v>2492.86</v>
      </c>
      <c r="N450" s="9" t="str" cm="1">
        <f t="array" ref="N450">_xlfn.IFS(C450&lt;18,"Under 18",C450&lt;36,"18-35",C450&lt;51,"36-50",C450&lt;66,"51-65",C450&gt;=66,"Above 65")</f>
        <v>Above 65</v>
      </c>
      <c r="O450" s="6"/>
    </row>
    <row r="451" spans="1:15" x14ac:dyDescent="0.35">
      <c r="A451" t="s">
        <v>885</v>
      </c>
      <c r="B451" t="s">
        <v>233</v>
      </c>
      <c r="C451">
        <v>19</v>
      </c>
      <c r="D451" t="s">
        <v>12</v>
      </c>
      <c r="E451" s="5">
        <v>45832</v>
      </c>
      <c r="F451" s="5">
        <v>45833</v>
      </c>
      <c r="G451">
        <f t="shared" ref="G451:G514" si="14">DATEDIF(E451,F451,"D")</f>
        <v>1</v>
      </c>
      <c r="H451" t="s">
        <v>23</v>
      </c>
      <c r="I451" t="s">
        <v>28</v>
      </c>
      <c r="J451" s="2">
        <v>1867.11</v>
      </c>
      <c r="K451" s="6">
        <v>0.8</v>
      </c>
      <c r="L451" t="s">
        <v>15</v>
      </c>
      <c r="M451" s="3">
        <f t="shared" ref="M451:M514" si="15">IF(L451 = "Paid",J451,0)</f>
        <v>1867.11</v>
      </c>
      <c r="N451" s="9" t="str" cm="1">
        <f t="array" ref="N451">_xlfn.IFS(C451&lt;18,"Under 18",C451&lt;36,"18-35",C451&lt;51,"36-50",C451&lt;66,"51-65",C451&gt;=66,"Above 65")</f>
        <v>18-35</v>
      </c>
      <c r="O451" s="6"/>
    </row>
    <row r="452" spans="1:15" x14ac:dyDescent="0.35">
      <c r="A452" t="s">
        <v>886</v>
      </c>
      <c r="B452" t="s">
        <v>592</v>
      </c>
      <c r="C452">
        <v>68</v>
      </c>
      <c r="D452" t="s">
        <v>12</v>
      </c>
      <c r="E452" s="5">
        <v>45482</v>
      </c>
      <c r="F452" s="5">
        <v>45489</v>
      </c>
      <c r="G452">
        <f t="shared" si="14"/>
        <v>7</v>
      </c>
      <c r="H452" t="s">
        <v>13</v>
      </c>
      <c r="I452" t="s">
        <v>14</v>
      </c>
      <c r="J452" s="2">
        <v>9821.73</v>
      </c>
      <c r="K452" s="6">
        <v>0.8</v>
      </c>
      <c r="L452" t="s">
        <v>15</v>
      </c>
      <c r="M452" s="3">
        <f t="shared" si="15"/>
        <v>9821.73</v>
      </c>
      <c r="N452" s="9" t="str" cm="1">
        <f t="array" ref="N452">_xlfn.IFS(C452&lt;18,"Under 18",C452&lt;36,"18-35",C452&lt;51,"36-50",C452&lt;66,"51-65",C452&gt;=66,"Above 65")</f>
        <v>Above 65</v>
      </c>
      <c r="O452" s="6"/>
    </row>
    <row r="453" spans="1:15" x14ac:dyDescent="0.35">
      <c r="A453" t="s">
        <v>887</v>
      </c>
      <c r="B453" t="s">
        <v>888</v>
      </c>
      <c r="C453">
        <v>46</v>
      </c>
      <c r="D453" t="s">
        <v>18</v>
      </c>
      <c r="E453" s="5">
        <v>45382</v>
      </c>
      <c r="F453" s="5">
        <v>45389</v>
      </c>
      <c r="G453">
        <f t="shared" si="14"/>
        <v>7</v>
      </c>
      <c r="H453" t="s">
        <v>70</v>
      </c>
      <c r="I453" t="s">
        <v>71</v>
      </c>
      <c r="J453" s="2">
        <v>9183.36</v>
      </c>
      <c r="K453" s="6">
        <v>0</v>
      </c>
      <c r="L453" t="s">
        <v>20</v>
      </c>
      <c r="M453" s="3">
        <f t="shared" si="15"/>
        <v>0</v>
      </c>
      <c r="N453" s="9" t="str" cm="1">
        <f t="array" ref="N453">_xlfn.IFS(C453&lt;18,"Under 18",C453&lt;36,"18-35",C453&lt;51,"36-50",C453&lt;66,"51-65",C453&gt;=66,"Above 65")</f>
        <v>36-50</v>
      </c>
      <c r="O453" s="6"/>
    </row>
    <row r="454" spans="1:15" x14ac:dyDescent="0.35">
      <c r="A454" t="s">
        <v>889</v>
      </c>
      <c r="B454" t="s">
        <v>890</v>
      </c>
      <c r="C454">
        <v>59</v>
      </c>
      <c r="D454" t="s">
        <v>12</v>
      </c>
      <c r="E454" s="5">
        <v>45680</v>
      </c>
      <c r="F454" s="5">
        <v>45682</v>
      </c>
      <c r="G454">
        <f t="shared" si="14"/>
        <v>2</v>
      </c>
      <c r="H454" t="s">
        <v>31</v>
      </c>
      <c r="I454" t="s">
        <v>87</v>
      </c>
      <c r="J454" s="2">
        <v>1293.94</v>
      </c>
      <c r="K454" s="6">
        <v>1</v>
      </c>
      <c r="L454" t="s">
        <v>15</v>
      </c>
      <c r="M454" s="3">
        <f t="shared" si="15"/>
        <v>1293.94</v>
      </c>
      <c r="N454" s="9" t="str" cm="1">
        <f t="array" ref="N454">_xlfn.IFS(C454&lt;18,"Under 18",C454&lt;36,"18-35",C454&lt;51,"36-50",C454&lt;66,"51-65",C454&gt;=66,"Above 65")</f>
        <v>51-65</v>
      </c>
      <c r="O454" s="6"/>
    </row>
    <row r="455" spans="1:15" x14ac:dyDescent="0.35">
      <c r="A455" t="s">
        <v>891</v>
      </c>
      <c r="B455" t="s">
        <v>529</v>
      </c>
      <c r="C455">
        <v>48</v>
      </c>
      <c r="D455" t="s">
        <v>18</v>
      </c>
      <c r="E455" s="5">
        <v>45586</v>
      </c>
      <c r="F455" s="5">
        <v>45595</v>
      </c>
      <c r="G455">
        <f t="shared" si="14"/>
        <v>9</v>
      </c>
      <c r="H455" t="s">
        <v>13</v>
      </c>
      <c r="I455" t="s">
        <v>165</v>
      </c>
      <c r="J455" s="2">
        <v>23400.73</v>
      </c>
      <c r="K455" s="6">
        <v>1</v>
      </c>
      <c r="L455" t="s">
        <v>15</v>
      </c>
      <c r="M455" s="3">
        <f t="shared" si="15"/>
        <v>23400.73</v>
      </c>
      <c r="N455" s="9" t="str" cm="1">
        <f t="array" ref="N455">_xlfn.IFS(C455&lt;18,"Under 18",C455&lt;36,"18-35",C455&lt;51,"36-50",C455&lt;66,"51-65",C455&gt;=66,"Above 65")</f>
        <v>36-50</v>
      </c>
      <c r="O455" s="6"/>
    </row>
    <row r="456" spans="1:15" x14ac:dyDescent="0.35">
      <c r="A456" t="s">
        <v>892</v>
      </c>
      <c r="B456" t="s">
        <v>893</v>
      </c>
      <c r="C456">
        <v>68</v>
      </c>
      <c r="D456" t="s">
        <v>18</v>
      </c>
      <c r="E456" s="5">
        <v>45966</v>
      </c>
      <c r="F456" s="5">
        <v>45971</v>
      </c>
      <c r="G456">
        <f t="shared" si="14"/>
        <v>5</v>
      </c>
      <c r="H456" t="s">
        <v>31</v>
      </c>
      <c r="I456" t="s">
        <v>32</v>
      </c>
      <c r="J456" s="2">
        <v>5575.83</v>
      </c>
      <c r="K456" s="6">
        <v>0.7</v>
      </c>
      <c r="L456" t="s">
        <v>15</v>
      </c>
      <c r="M456" s="3">
        <f t="shared" si="15"/>
        <v>5575.83</v>
      </c>
      <c r="N456" s="9" t="str" cm="1">
        <f t="array" ref="N456">_xlfn.IFS(C456&lt;18,"Under 18",C456&lt;36,"18-35",C456&lt;51,"36-50",C456&lt;66,"51-65",C456&gt;=66,"Above 65")</f>
        <v>Above 65</v>
      </c>
      <c r="O456" s="6"/>
    </row>
    <row r="457" spans="1:15" x14ac:dyDescent="0.35">
      <c r="A457" t="s">
        <v>894</v>
      </c>
      <c r="B457" t="s">
        <v>895</v>
      </c>
      <c r="C457">
        <v>22</v>
      </c>
      <c r="D457" t="s">
        <v>18</v>
      </c>
      <c r="E457" s="5">
        <v>45398</v>
      </c>
      <c r="F457" s="5">
        <v>45399</v>
      </c>
      <c r="G457">
        <f t="shared" si="14"/>
        <v>1</v>
      </c>
      <c r="H457" t="s">
        <v>31</v>
      </c>
      <c r="I457" t="s">
        <v>35</v>
      </c>
      <c r="J457" s="2">
        <v>711.37</v>
      </c>
      <c r="K457" s="6">
        <v>0.9</v>
      </c>
      <c r="L457" t="s">
        <v>20</v>
      </c>
      <c r="M457" s="3">
        <f t="shared" si="15"/>
        <v>0</v>
      </c>
      <c r="N457" s="9" t="str" cm="1">
        <f t="array" ref="N457">_xlfn.IFS(C457&lt;18,"Under 18",C457&lt;36,"18-35",C457&lt;51,"36-50",C457&lt;66,"51-65",C457&gt;=66,"Above 65")</f>
        <v>18-35</v>
      </c>
      <c r="O457" s="6"/>
    </row>
    <row r="458" spans="1:15" x14ac:dyDescent="0.35">
      <c r="A458" t="s">
        <v>896</v>
      </c>
      <c r="B458" t="s">
        <v>897</v>
      </c>
      <c r="C458">
        <v>55</v>
      </c>
      <c r="D458" t="s">
        <v>12</v>
      </c>
      <c r="E458" s="5">
        <v>46014</v>
      </c>
      <c r="F458" s="5">
        <v>46017</v>
      </c>
      <c r="G458">
        <f t="shared" si="14"/>
        <v>3</v>
      </c>
      <c r="H458" t="s">
        <v>23</v>
      </c>
      <c r="I458" t="s">
        <v>221</v>
      </c>
      <c r="J458" s="2">
        <v>3304.36</v>
      </c>
      <c r="K458" s="6">
        <v>0.6</v>
      </c>
      <c r="L458" t="s">
        <v>15</v>
      </c>
      <c r="M458" s="3">
        <f t="shared" si="15"/>
        <v>3304.36</v>
      </c>
      <c r="N458" s="9" t="str" cm="1">
        <f t="array" ref="N458">_xlfn.IFS(C458&lt;18,"Under 18",C458&lt;36,"18-35",C458&lt;51,"36-50",C458&lt;66,"51-65",C458&gt;=66,"Above 65")</f>
        <v>51-65</v>
      </c>
      <c r="O458" s="6"/>
    </row>
    <row r="459" spans="1:15" x14ac:dyDescent="0.35">
      <c r="A459" t="s">
        <v>898</v>
      </c>
      <c r="B459" t="s">
        <v>839</v>
      </c>
      <c r="C459">
        <v>48</v>
      </c>
      <c r="D459" t="s">
        <v>12</v>
      </c>
      <c r="E459" s="5">
        <v>45354</v>
      </c>
      <c r="F459" s="5">
        <v>45362</v>
      </c>
      <c r="G459">
        <f t="shared" si="14"/>
        <v>8</v>
      </c>
      <c r="H459" t="s">
        <v>70</v>
      </c>
      <c r="I459" t="s">
        <v>237</v>
      </c>
      <c r="J459" s="2">
        <v>18171.34</v>
      </c>
      <c r="K459" s="6">
        <v>0.7</v>
      </c>
      <c r="L459" t="s">
        <v>25</v>
      </c>
      <c r="M459" s="3">
        <f t="shared" si="15"/>
        <v>0</v>
      </c>
      <c r="N459" s="9" t="str" cm="1">
        <f t="array" ref="N459">_xlfn.IFS(C459&lt;18,"Under 18",C459&lt;36,"18-35",C459&lt;51,"36-50",C459&lt;66,"51-65",C459&gt;=66,"Above 65")</f>
        <v>36-50</v>
      </c>
      <c r="O459" s="6"/>
    </row>
    <row r="460" spans="1:15" x14ac:dyDescent="0.35">
      <c r="A460" t="s">
        <v>899</v>
      </c>
      <c r="B460" t="s">
        <v>408</v>
      </c>
      <c r="C460">
        <v>49</v>
      </c>
      <c r="D460" t="s">
        <v>18</v>
      </c>
      <c r="E460" s="5">
        <v>45470</v>
      </c>
      <c r="F460" s="5">
        <v>45482</v>
      </c>
      <c r="G460">
        <f t="shared" si="14"/>
        <v>12</v>
      </c>
      <c r="H460" t="s">
        <v>60</v>
      </c>
      <c r="I460" t="s">
        <v>142</v>
      </c>
      <c r="J460" s="2">
        <v>32666.57</v>
      </c>
      <c r="K460" s="6">
        <v>0.8</v>
      </c>
      <c r="L460" t="s">
        <v>25</v>
      </c>
      <c r="M460" s="3">
        <f t="shared" si="15"/>
        <v>0</v>
      </c>
      <c r="N460" s="9" t="str" cm="1">
        <f t="array" ref="N460">_xlfn.IFS(C460&lt;18,"Under 18",C460&lt;36,"18-35",C460&lt;51,"36-50",C460&lt;66,"51-65",C460&gt;=66,"Above 65")</f>
        <v>36-50</v>
      </c>
      <c r="O460" s="6"/>
    </row>
    <row r="461" spans="1:15" x14ac:dyDescent="0.35">
      <c r="A461" t="s">
        <v>900</v>
      </c>
      <c r="B461" t="s">
        <v>602</v>
      </c>
      <c r="C461">
        <v>57</v>
      </c>
      <c r="D461" t="s">
        <v>12</v>
      </c>
      <c r="E461" s="5">
        <v>45350</v>
      </c>
      <c r="F461" s="5">
        <v>45356</v>
      </c>
      <c r="G461">
        <f t="shared" si="14"/>
        <v>6</v>
      </c>
      <c r="H461" t="s">
        <v>31</v>
      </c>
      <c r="I461" t="s">
        <v>35</v>
      </c>
      <c r="J461" s="2">
        <v>8770.94</v>
      </c>
      <c r="K461" s="6">
        <v>0.8</v>
      </c>
      <c r="L461" t="s">
        <v>15</v>
      </c>
      <c r="M461" s="3">
        <f t="shared" si="15"/>
        <v>8770.94</v>
      </c>
      <c r="N461" s="9" t="str" cm="1">
        <f t="array" ref="N461">_xlfn.IFS(C461&lt;18,"Under 18",C461&lt;36,"18-35",C461&lt;51,"36-50",C461&lt;66,"51-65",C461&gt;=66,"Above 65")</f>
        <v>51-65</v>
      </c>
      <c r="O461" s="6"/>
    </row>
    <row r="462" spans="1:15" x14ac:dyDescent="0.35">
      <c r="A462" t="s">
        <v>901</v>
      </c>
      <c r="B462" t="s">
        <v>902</v>
      </c>
      <c r="C462">
        <v>37</v>
      </c>
      <c r="D462" t="s">
        <v>12</v>
      </c>
      <c r="E462" s="5">
        <v>45721</v>
      </c>
      <c r="F462" s="5">
        <v>45724</v>
      </c>
      <c r="G462">
        <f t="shared" si="14"/>
        <v>3</v>
      </c>
      <c r="H462" t="s">
        <v>70</v>
      </c>
      <c r="I462" t="s">
        <v>194</v>
      </c>
      <c r="J462" s="2">
        <v>5722.85</v>
      </c>
      <c r="K462" s="6">
        <v>0.7</v>
      </c>
      <c r="L462" t="s">
        <v>25</v>
      </c>
      <c r="M462" s="3">
        <f t="shared" si="15"/>
        <v>0</v>
      </c>
      <c r="N462" s="9" t="str" cm="1">
        <f t="array" ref="N462">_xlfn.IFS(C462&lt;18,"Under 18",C462&lt;36,"18-35",C462&lt;51,"36-50",C462&lt;66,"51-65",C462&gt;=66,"Above 65")</f>
        <v>36-50</v>
      </c>
      <c r="O462" s="6"/>
    </row>
    <row r="463" spans="1:15" x14ac:dyDescent="0.35">
      <c r="A463" t="s">
        <v>903</v>
      </c>
      <c r="B463" t="s">
        <v>904</v>
      </c>
      <c r="C463">
        <v>73</v>
      </c>
      <c r="D463" t="s">
        <v>18</v>
      </c>
      <c r="E463" s="5">
        <v>45599</v>
      </c>
      <c r="F463" s="5">
        <v>45600</v>
      </c>
      <c r="G463">
        <f t="shared" si="14"/>
        <v>1</v>
      </c>
      <c r="H463" t="s">
        <v>23</v>
      </c>
      <c r="I463" t="s">
        <v>333</v>
      </c>
      <c r="J463" s="2">
        <v>1228.01</v>
      </c>
      <c r="K463" s="6">
        <v>0.9</v>
      </c>
      <c r="L463" t="s">
        <v>15</v>
      </c>
      <c r="M463" s="3">
        <f t="shared" si="15"/>
        <v>1228.01</v>
      </c>
      <c r="N463" s="9" t="str" cm="1">
        <f t="array" ref="N463">_xlfn.IFS(C463&lt;18,"Under 18",C463&lt;36,"18-35",C463&lt;51,"36-50",C463&lt;66,"51-65",C463&gt;=66,"Above 65")</f>
        <v>Above 65</v>
      </c>
      <c r="O463" s="6"/>
    </row>
    <row r="464" spans="1:15" x14ac:dyDescent="0.35">
      <c r="A464" t="s">
        <v>905</v>
      </c>
      <c r="B464" t="s">
        <v>906</v>
      </c>
      <c r="C464">
        <v>78</v>
      </c>
      <c r="D464" t="s">
        <v>18</v>
      </c>
      <c r="E464" s="5">
        <v>45606</v>
      </c>
      <c r="F464" s="5">
        <v>45613</v>
      </c>
      <c r="G464">
        <f t="shared" si="14"/>
        <v>7</v>
      </c>
      <c r="H464" t="s">
        <v>31</v>
      </c>
      <c r="I464" t="s">
        <v>44</v>
      </c>
      <c r="J464" s="2">
        <v>8155.8</v>
      </c>
      <c r="K464" s="6">
        <v>0.8</v>
      </c>
      <c r="L464" t="s">
        <v>15</v>
      </c>
      <c r="M464" s="3">
        <f t="shared" si="15"/>
        <v>8155.8</v>
      </c>
      <c r="N464" s="9" t="str" cm="1">
        <f t="array" ref="N464">_xlfn.IFS(C464&lt;18,"Under 18",C464&lt;36,"18-35",C464&lt;51,"36-50",C464&lt;66,"51-65",C464&gt;=66,"Above 65")</f>
        <v>Above 65</v>
      </c>
      <c r="O464" s="6"/>
    </row>
    <row r="465" spans="1:15" x14ac:dyDescent="0.35">
      <c r="A465" t="s">
        <v>907</v>
      </c>
      <c r="B465" t="s">
        <v>908</v>
      </c>
      <c r="C465">
        <v>75</v>
      </c>
      <c r="D465" t="s">
        <v>18</v>
      </c>
      <c r="E465" s="5">
        <v>45431</v>
      </c>
      <c r="F465" s="5">
        <v>45442</v>
      </c>
      <c r="G465">
        <f t="shared" si="14"/>
        <v>11</v>
      </c>
      <c r="H465" t="s">
        <v>60</v>
      </c>
      <c r="I465" t="s">
        <v>142</v>
      </c>
      <c r="J465" s="2">
        <v>21834.98</v>
      </c>
      <c r="K465" s="6">
        <v>0.8</v>
      </c>
      <c r="L465" t="s">
        <v>15</v>
      </c>
      <c r="M465" s="3">
        <f t="shared" si="15"/>
        <v>21834.98</v>
      </c>
      <c r="N465" s="9" t="str" cm="1">
        <f t="array" ref="N465">_xlfn.IFS(C465&lt;18,"Under 18",C465&lt;36,"18-35",C465&lt;51,"36-50",C465&lt;66,"51-65",C465&gt;=66,"Above 65")</f>
        <v>Above 65</v>
      </c>
      <c r="O465" s="6"/>
    </row>
    <row r="466" spans="1:15" x14ac:dyDescent="0.35">
      <c r="A466" t="s">
        <v>909</v>
      </c>
      <c r="B466" t="s">
        <v>802</v>
      </c>
      <c r="C466">
        <v>51</v>
      </c>
      <c r="D466" t="s">
        <v>18</v>
      </c>
      <c r="E466" s="5">
        <v>46004</v>
      </c>
      <c r="F466" s="5">
        <v>46013</v>
      </c>
      <c r="G466">
        <f t="shared" si="14"/>
        <v>9</v>
      </c>
      <c r="H466" t="s">
        <v>60</v>
      </c>
      <c r="I466" t="s">
        <v>97</v>
      </c>
      <c r="J466" s="2">
        <v>24478.42</v>
      </c>
      <c r="K466" s="6">
        <v>0.7</v>
      </c>
      <c r="L466" t="s">
        <v>20</v>
      </c>
      <c r="M466" s="3">
        <f t="shared" si="15"/>
        <v>0</v>
      </c>
      <c r="N466" s="9" t="str" cm="1">
        <f t="array" ref="N466">_xlfn.IFS(C466&lt;18,"Under 18",C466&lt;36,"18-35",C466&lt;51,"36-50",C466&lt;66,"51-65",C466&gt;=66,"Above 65")</f>
        <v>51-65</v>
      </c>
      <c r="O466" s="6"/>
    </row>
    <row r="467" spans="1:15" x14ac:dyDescent="0.35">
      <c r="A467" t="s">
        <v>910</v>
      </c>
      <c r="B467" t="s">
        <v>911</v>
      </c>
      <c r="C467">
        <v>24</v>
      </c>
      <c r="D467" t="s">
        <v>12</v>
      </c>
      <c r="E467" s="5">
        <v>45530</v>
      </c>
      <c r="F467" s="5">
        <v>45534</v>
      </c>
      <c r="G467">
        <f t="shared" si="14"/>
        <v>4</v>
      </c>
      <c r="H467" t="s">
        <v>31</v>
      </c>
      <c r="I467" t="s">
        <v>44</v>
      </c>
      <c r="J467" s="2">
        <v>3310.93</v>
      </c>
      <c r="K467" s="6">
        <v>0.5</v>
      </c>
      <c r="L467" t="s">
        <v>15</v>
      </c>
      <c r="M467" s="3">
        <f t="shared" si="15"/>
        <v>3310.93</v>
      </c>
      <c r="N467" s="9" t="str" cm="1">
        <f t="array" ref="N467">_xlfn.IFS(C467&lt;18,"Under 18",C467&lt;36,"18-35",C467&lt;51,"36-50",C467&lt;66,"51-65",C467&gt;=66,"Above 65")</f>
        <v>18-35</v>
      </c>
      <c r="O467" s="6"/>
    </row>
    <row r="468" spans="1:15" x14ac:dyDescent="0.35">
      <c r="A468" t="s">
        <v>912</v>
      </c>
      <c r="B468" t="s">
        <v>913</v>
      </c>
      <c r="C468">
        <v>11</v>
      </c>
      <c r="D468" t="s">
        <v>18</v>
      </c>
      <c r="E468" s="5">
        <v>45429</v>
      </c>
      <c r="F468" s="5">
        <v>45434</v>
      </c>
      <c r="G468">
        <f t="shared" si="14"/>
        <v>5</v>
      </c>
      <c r="H468" t="s">
        <v>49</v>
      </c>
      <c r="I468" t="s">
        <v>130</v>
      </c>
      <c r="J468" s="2">
        <v>3615.86</v>
      </c>
      <c r="K468" s="6">
        <v>0.7</v>
      </c>
      <c r="L468" t="s">
        <v>15</v>
      </c>
      <c r="M468" s="3">
        <f t="shared" si="15"/>
        <v>3615.86</v>
      </c>
      <c r="N468" s="9" t="str" cm="1">
        <f t="array" ref="N468">_xlfn.IFS(C468&lt;18,"Under 18",C468&lt;36,"18-35",C468&lt;51,"36-50",C468&lt;66,"51-65",C468&gt;=66,"Above 65")</f>
        <v>Under 18</v>
      </c>
      <c r="O468" s="6"/>
    </row>
    <row r="469" spans="1:15" x14ac:dyDescent="0.35">
      <c r="A469" t="s">
        <v>914</v>
      </c>
      <c r="B469" t="s">
        <v>915</v>
      </c>
      <c r="C469">
        <v>71</v>
      </c>
      <c r="D469" t="s">
        <v>18</v>
      </c>
      <c r="E469" s="5">
        <v>45694</v>
      </c>
      <c r="F469" s="5">
        <v>45701</v>
      </c>
      <c r="G469">
        <f t="shared" si="14"/>
        <v>7</v>
      </c>
      <c r="H469" t="s">
        <v>13</v>
      </c>
      <c r="I469" t="s">
        <v>165</v>
      </c>
      <c r="J469" s="2">
        <v>14885.93</v>
      </c>
      <c r="K469" s="6">
        <v>0.9</v>
      </c>
      <c r="L469" t="s">
        <v>15</v>
      </c>
      <c r="M469" s="3">
        <f t="shared" si="15"/>
        <v>14885.93</v>
      </c>
      <c r="N469" s="9" t="str" cm="1">
        <f t="array" ref="N469">_xlfn.IFS(C469&lt;18,"Under 18",C469&lt;36,"18-35",C469&lt;51,"36-50",C469&lt;66,"51-65",C469&gt;=66,"Above 65")</f>
        <v>Above 65</v>
      </c>
      <c r="O469" s="6"/>
    </row>
    <row r="470" spans="1:15" x14ac:dyDescent="0.35">
      <c r="A470" t="s">
        <v>916</v>
      </c>
      <c r="B470" t="s">
        <v>841</v>
      </c>
      <c r="C470">
        <v>29</v>
      </c>
      <c r="D470" t="s">
        <v>18</v>
      </c>
      <c r="E470" s="5">
        <v>45296</v>
      </c>
      <c r="F470" s="5">
        <v>45310</v>
      </c>
      <c r="G470">
        <f t="shared" si="14"/>
        <v>14</v>
      </c>
      <c r="H470" t="s">
        <v>60</v>
      </c>
      <c r="I470" t="s">
        <v>133</v>
      </c>
      <c r="J470" s="2">
        <v>21594.51</v>
      </c>
      <c r="K470" s="6">
        <v>0.6</v>
      </c>
      <c r="L470" t="s">
        <v>15</v>
      </c>
      <c r="M470" s="3">
        <f t="shared" si="15"/>
        <v>21594.51</v>
      </c>
      <c r="N470" s="9" t="str" cm="1">
        <f t="array" ref="N470">_xlfn.IFS(C470&lt;18,"Under 18",C470&lt;36,"18-35",C470&lt;51,"36-50",C470&lt;66,"51-65",C470&gt;=66,"Above 65")</f>
        <v>18-35</v>
      </c>
      <c r="O470" s="6"/>
    </row>
    <row r="471" spans="1:15" x14ac:dyDescent="0.35">
      <c r="A471" t="s">
        <v>917</v>
      </c>
      <c r="B471" t="s">
        <v>512</v>
      </c>
      <c r="C471">
        <v>35</v>
      </c>
      <c r="D471" t="s">
        <v>12</v>
      </c>
      <c r="E471" s="5">
        <v>45907</v>
      </c>
      <c r="F471" s="5">
        <v>45918</v>
      </c>
      <c r="G471">
        <f t="shared" si="14"/>
        <v>11</v>
      </c>
      <c r="H471" t="s">
        <v>60</v>
      </c>
      <c r="I471" t="s">
        <v>61</v>
      </c>
      <c r="J471" s="2">
        <v>16660.509999999998</v>
      </c>
      <c r="K471" s="6">
        <v>0.7</v>
      </c>
      <c r="L471" t="s">
        <v>20</v>
      </c>
      <c r="M471" s="3">
        <f t="shared" si="15"/>
        <v>0</v>
      </c>
      <c r="N471" s="9" t="str" cm="1">
        <f t="array" ref="N471">_xlfn.IFS(C471&lt;18,"Under 18",C471&lt;36,"18-35",C471&lt;51,"36-50",C471&lt;66,"51-65",C471&gt;=66,"Above 65")</f>
        <v>18-35</v>
      </c>
      <c r="O471" s="6"/>
    </row>
    <row r="472" spans="1:15" x14ac:dyDescent="0.35">
      <c r="A472" t="s">
        <v>918</v>
      </c>
      <c r="B472" t="s">
        <v>919</v>
      </c>
      <c r="C472">
        <v>9</v>
      </c>
      <c r="D472" t="s">
        <v>18</v>
      </c>
      <c r="E472" s="5">
        <v>45352</v>
      </c>
      <c r="F472" s="5">
        <v>45355</v>
      </c>
      <c r="G472">
        <f t="shared" si="14"/>
        <v>3</v>
      </c>
      <c r="H472" t="s">
        <v>49</v>
      </c>
      <c r="I472" t="s">
        <v>120</v>
      </c>
      <c r="J472" s="2">
        <v>5025.87</v>
      </c>
      <c r="K472" s="6">
        <v>0.8</v>
      </c>
      <c r="L472" t="s">
        <v>15</v>
      </c>
      <c r="M472" s="3">
        <f t="shared" si="15"/>
        <v>5025.87</v>
      </c>
      <c r="N472" s="9" t="str" cm="1">
        <f t="array" ref="N472">_xlfn.IFS(C472&lt;18,"Under 18",C472&lt;36,"18-35",C472&lt;51,"36-50",C472&lt;66,"51-65",C472&gt;=66,"Above 65")</f>
        <v>Under 18</v>
      </c>
      <c r="O472" s="6"/>
    </row>
    <row r="473" spans="1:15" x14ac:dyDescent="0.35">
      <c r="A473" t="s">
        <v>920</v>
      </c>
      <c r="B473" t="s">
        <v>191</v>
      </c>
      <c r="C473">
        <v>64</v>
      </c>
      <c r="D473" t="s">
        <v>18</v>
      </c>
      <c r="E473" s="5">
        <v>45437</v>
      </c>
      <c r="F473" s="5">
        <v>45439</v>
      </c>
      <c r="G473">
        <f t="shared" si="14"/>
        <v>2</v>
      </c>
      <c r="H473" t="s">
        <v>60</v>
      </c>
      <c r="I473" t="s">
        <v>77</v>
      </c>
      <c r="J473" s="2">
        <v>3693.42</v>
      </c>
      <c r="K473" s="6">
        <v>0.9</v>
      </c>
      <c r="L473" t="s">
        <v>15</v>
      </c>
      <c r="M473" s="3">
        <f t="shared" si="15"/>
        <v>3693.42</v>
      </c>
      <c r="N473" s="9" t="str" cm="1">
        <f t="array" ref="N473">_xlfn.IFS(C473&lt;18,"Under 18",C473&lt;36,"18-35",C473&lt;51,"36-50",C473&lt;66,"51-65",C473&gt;=66,"Above 65")</f>
        <v>51-65</v>
      </c>
      <c r="O473" s="6"/>
    </row>
    <row r="474" spans="1:15" x14ac:dyDescent="0.35">
      <c r="A474" t="s">
        <v>921</v>
      </c>
      <c r="B474" t="s">
        <v>922</v>
      </c>
      <c r="C474">
        <v>11</v>
      </c>
      <c r="D474" t="s">
        <v>12</v>
      </c>
      <c r="E474" s="5">
        <v>45819</v>
      </c>
      <c r="F474" s="5">
        <v>45823</v>
      </c>
      <c r="G474">
        <f t="shared" si="14"/>
        <v>4</v>
      </c>
      <c r="H474" t="s">
        <v>49</v>
      </c>
      <c r="I474" t="s">
        <v>130</v>
      </c>
      <c r="J474" s="2">
        <v>6070.15</v>
      </c>
      <c r="K474" s="6">
        <v>0.7</v>
      </c>
      <c r="L474" t="s">
        <v>15</v>
      </c>
      <c r="M474" s="3">
        <f t="shared" si="15"/>
        <v>6070.15</v>
      </c>
      <c r="N474" s="9" t="str" cm="1">
        <f t="array" ref="N474">_xlfn.IFS(C474&lt;18,"Under 18",C474&lt;36,"18-35",C474&lt;51,"36-50",C474&lt;66,"51-65",C474&gt;=66,"Above 65")</f>
        <v>Under 18</v>
      </c>
      <c r="O474" s="6"/>
    </row>
    <row r="475" spans="1:15" x14ac:dyDescent="0.35">
      <c r="A475" t="s">
        <v>923</v>
      </c>
      <c r="B475" t="s">
        <v>924</v>
      </c>
      <c r="C475">
        <v>78</v>
      </c>
      <c r="D475" t="s">
        <v>12</v>
      </c>
      <c r="E475" s="5">
        <v>45783</v>
      </c>
      <c r="F475" s="5">
        <v>45784</v>
      </c>
      <c r="G475">
        <f t="shared" si="14"/>
        <v>1</v>
      </c>
      <c r="H475" t="s">
        <v>31</v>
      </c>
      <c r="I475" t="s">
        <v>35</v>
      </c>
      <c r="J475" s="2">
        <v>1488.89</v>
      </c>
      <c r="K475" s="6">
        <v>0.8</v>
      </c>
      <c r="L475" t="s">
        <v>15</v>
      </c>
      <c r="M475" s="3">
        <f t="shared" si="15"/>
        <v>1488.89</v>
      </c>
      <c r="N475" s="9" t="str" cm="1">
        <f t="array" ref="N475">_xlfn.IFS(C475&lt;18,"Under 18",C475&lt;36,"18-35",C475&lt;51,"36-50",C475&lt;66,"51-65",C475&gt;=66,"Above 65")</f>
        <v>Above 65</v>
      </c>
      <c r="O475" s="6"/>
    </row>
    <row r="476" spans="1:15" x14ac:dyDescent="0.35">
      <c r="A476" t="s">
        <v>925</v>
      </c>
      <c r="B476" t="s">
        <v>55</v>
      </c>
      <c r="C476">
        <v>64</v>
      </c>
      <c r="D476" t="s">
        <v>12</v>
      </c>
      <c r="E476" s="5">
        <v>45477</v>
      </c>
      <c r="F476" s="5">
        <v>45480</v>
      </c>
      <c r="G476">
        <f t="shared" si="14"/>
        <v>3</v>
      </c>
      <c r="H476" t="s">
        <v>31</v>
      </c>
      <c r="I476" t="s">
        <v>35</v>
      </c>
      <c r="J476" s="2">
        <v>3173.52</v>
      </c>
      <c r="K476" s="6">
        <v>0.9</v>
      </c>
      <c r="L476" t="s">
        <v>25</v>
      </c>
      <c r="M476" s="3">
        <f t="shared" si="15"/>
        <v>0</v>
      </c>
      <c r="N476" s="9" t="str" cm="1">
        <f t="array" ref="N476">_xlfn.IFS(C476&lt;18,"Under 18",C476&lt;36,"18-35",C476&lt;51,"36-50",C476&lt;66,"51-65",C476&gt;=66,"Above 65")</f>
        <v>51-65</v>
      </c>
      <c r="O476" s="6"/>
    </row>
    <row r="477" spans="1:15" x14ac:dyDescent="0.35">
      <c r="A477" t="s">
        <v>926</v>
      </c>
      <c r="B477" t="s">
        <v>927</v>
      </c>
      <c r="C477">
        <v>38</v>
      </c>
      <c r="D477" t="s">
        <v>18</v>
      </c>
      <c r="E477" s="5">
        <v>45770</v>
      </c>
      <c r="F477" s="5">
        <v>45779</v>
      </c>
      <c r="G477">
        <f t="shared" si="14"/>
        <v>9</v>
      </c>
      <c r="H477" t="s">
        <v>60</v>
      </c>
      <c r="I477" t="s">
        <v>61</v>
      </c>
      <c r="J477" s="2">
        <v>12100.26</v>
      </c>
      <c r="K477" s="6">
        <v>0.9</v>
      </c>
      <c r="L477" t="s">
        <v>25</v>
      </c>
      <c r="M477" s="3">
        <f t="shared" si="15"/>
        <v>0</v>
      </c>
      <c r="N477" s="9" t="str" cm="1">
        <f t="array" ref="N477">_xlfn.IFS(C477&lt;18,"Under 18",C477&lt;36,"18-35",C477&lt;51,"36-50",C477&lt;66,"51-65",C477&gt;=66,"Above 65")</f>
        <v>36-50</v>
      </c>
      <c r="O477" s="6"/>
    </row>
    <row r="478" spans="1:15" x14ac:dyDescent="0.35">
      <c r="A478" t="s">
        <v>928</v>
      </c>
      <c r="B478" t="s">
        <v>330</v>
      </c>
      <c r="C478">
        <v>66</v>
      </c>
      <c r="D478" t="s">
        <v>18</v>
      </c>
      <c r="E478" s="5">
        <v>45343</v>
      </c>
      <c r="F478" s="5">
        <v>45349</v>
      </c>
      <c r="G478">
        <f t="shared" si="14"/>
        <v>6</v>
      </c>
      <c r="H478" t="s">
        <v>13</v>
      </c>
      <c r="I478" t="s">
        <v>38</v>
      </c>
      <c r="J478" s="2">
        <v>17141</v>
      </c>
      <c r="K478" s="6">
        <v>0.9</v>
      </c>
      <c r="L478" t="s">
        <v>15</v>
      </c>
      <c r="M478" s="3">
        <f t="shared" si="15"/>
        <v>17141</v>
      </c>
      <c r="N478" s="9" t="str" cm="1">
        <f t="array" ref="N478">_xlfn.IFS(C478&lt;18,"Under 18",C478&lt;36,"18-35",C478&lt;51,"36-50",C478&lt;66,"51-65",C478&gt;=66,"Above 65")</f>
        <v>Above 65</v>
      </c>
      <c r="O478" s="6"/>
    </row>
    <row r="479" spans="1:15" x14ac:dyDescent="0.35">
      <c r="A479" t="s">
        <v>929</v>
      </c>
      <c r="B479" t="s">
        <v>218</v>
      </c>
      <c r="C479">
        <v>36</v>
      </c>
      <c r="D479" t="s">
        <v>18</v>
      </c>
      <c r="E479" s="5">
        <v>45683</v>
      </c>
      <c r="F479" s="5">
        <v>45684</v>
      </c>
      <c r="G479">
        <f t="shared" si="14"/>
        <v>1</v>
      </c>
      <c r="H479" t="s">
        <v>23</v>
      </c>
      <c r="I479" t="s">
        <v>204</v>
      </c>
      <c r="J479" s="2">
        <v>1576.85</v>
      </c>
      <c r="K479" s="6">
        <v>0.8</v>
      </c>
      <c r="L479" t="s">
        <v>20</v>
      </c>
      <c r="M479" s="3">
        <f t="shared" si="15"/>
        <v>0</v>
      </c>
      <c r="N479" s="9" t="str" cm="1">
        <f t="array" ref="N479">_xlfn.IFS(C479&lt;18,"Under 18",C479&lt;36,"18-35",C479&lt;51,"36-50",C479&lt;66,"51-65",C479&gt;=66,"Above 65")</f>
        <v>36-50</v>
      </c>
      <c r="O479" s="6"/>
    </row>
    <row r="480" spans="1:15" x14ac:dyDescent="0.35">
      <c r="A480" t="s">
        <v>930</v>
      </c>
      <c r="B480" t="s">
        <v>628</v>
      </c>
      <c r="C480">
        <v>54</v>
      </c>
      <c r="D480" t="s">
        <v>12</v>
      </c>
      <c r="E480" s="5">
        <v>45504</v>
      </c>
      <c r="F480" s="5">
        <v>45505</v>
      </c>
      <c r="G480">
        <f t="shared" si="14"/>
        <v>1</v>
      </c>
      <c r="H480" t="s">
        <v>31</v>
      </c>
      <c r="I480" t="s">
        <v>53</v>
      </c>
      <c r="J480" s="2">
        <v>534.38</v>
      </c>
      <c r="K480" s="6">
        <v>0.8</v>
      </c>
      <c r="L480" t="s">
        <v>15</v>
      </c>
      <c r="M480" s="3">
        <f t="shared" si="15"/>
        <v>534.38</v>
      </c>
      <c r="N480" s="9" t="str" cm="1">
        <f t="array" ref="N480">_xlfn.IFS(C480&lt;18,"Under 18",C480&lt;36,"18-35",C480&lt;51,"36-50",C480&lt;66,"51-65",C480&gt;=66,"Above 65")</f>
        <v>51-65</v>
      </c>
      <c r="O480" s="6"/>
    </row>
    <row r="481" spans="1:15" x14ac:dyDescent="0.35">
      <c r="A481" t="s">
        <v>931</v>
      </c>
      <c r="B481" t="s">
        <v>932</v>
      </c>
      <c r="C481">
        <v>1</v>
      </c>
      <c r="D481" t="s">
        <v>18</v>
      </c>
      <c r="E481" s="5">
        <v>45300</v>
      </c>
      <c r="F481" s="5">
        <v>45301</v>
      </c>
      <c r="G481">
        <f t="shared" si="14"/>
        <v>1</v>
      </c>
      <c r="H481" t="s">
        <v>49</v>
      </c>
      <c r="I481" t="s">
        <v>123</v>
      </c>
      <c r="J481" s="2">
        <v>728.22</v>
      </c>
      <c r="K481" s="6">
        <v>0.6</v>
      </c>
      <c r="L481" t="s">
        <v>15</v>
      </c>
      <c r="M481" s="3">
        <f t="shared" si="15"/>
        <v>728.22</v>
      </c>
      <c r="N481" s="9" t="str" cm="1">
        <f t="array" ref="N481">_xlfn.IFS(C481&lt;18,"Under 18",C481&lt;36,"18-35",C481&lt;51,"36-50",C481&lt;66,"51-65",C481&gt;=66,"Above 65")</f>
        <v>Under 18</v>
      </c>
      <c r="O481" s="6"/>
    </row>
    <row r="482" spans="1:15" x14ac:dyDescent="0.35">
      <c r="A482" t="s">
        <v>933</v>
      </c>
      <c r="B482" t="s">
        <v>11</v>
      </c>
      <c r="C482">
        <v>29</v>
      </c>
      <c r="D482" t="s">
        <v>12</v>
      </c>
      <c r="E482" s="5">
        <v>45847</v>
      </c>
      <c r="F482" s="5">
        <v>45853</v>
      </c>
      <c r="G482">
        <f t="shared" si="14"/>
        <v>6</v>
      </c>
      <c r="H482" t="s">
        <v>60</v>
      </c>
      <c r="I482" t="s">
        <v>142</v>
      </c>
      <c r="J482" s="2">
        <v>12100.99</v>
      </c>
      <c r="K482" s="6">
        <v>1</v>
      </c>
      <c r="L482" t="s">
        <v>20</v>
      </c>
      <c r="M482" s="3">
        <f t="shared" si="15"/>
        <v>0</v>
      </c>
      <c r="N482" s="9" t="str" cm="1">
        <f t="array" ref="N482">_xlfn.IFS(C482&lt;18,"Under 18",C482&lt;36,"18-35",C482&lt;51,"36-50",C482&lt;66,"51-65",C482&gt;=66,"Above 65")</f>
        <v>18-35</v>
      </c>
      <c r="O482" s="6"/>
    </row>
    <row r="483" spans="1:15" x14ac:dyDescent="0.35">
      <c r="A483" t="s">
        <v>934</v>
      </c>
      <c r="B483" t="s">
        <v>935</v>
      </c>
      <c r="C483">
        <v>77</v>
      </c>
      <c r="D483" t="s">
        <v>18</v>
      </c>
      <c r="E483" s="5">
        <v>45791</v>
      </c>
      <c r="F483" s="5">
        <v>45797</v>
      </c>
      <c r="G483">
        <f t="shared" si="14"/>
        <v>6</v>
      </c>
      <c r="H483" t="s">
        <v>13</v>
      </c>
      <c r="I483" t="s">
        <v>14</v>
      </c>
      <c r="J483" s="2">
        <v>8417.51</v>
      </c>
      <c r="K483" s="6">
        <v>0.7</v>
      </c>
      <c r="L483" t="s">
        <v>25</v>
      </c>
      <c r="M483" s="3">
        <f t="shared" si="15"/>
        <v>0</v>
      </c>
      <c r="N483" s="9" t="str" cm="1">
        <f t="array" ref="N483">_xlfn.IFS(C483&lt;18,"Under 18",C483&lt;36,"18-35",C483&lt;51,"36-50",C483&lt;66,"51-65",C483&gt;=66,"Above 65")</f>
        <v>Above 65</v>
      </c>
      <c r="O483" s="6"/>
    </row>
    <row r="484" spans="1:15" x14ac:dyDescent="0.35">
      <c r="A484" t="s">
        <v>936</v>
      </c>
      <c r="B484" t="s">
        <v>870</v>
      </c>
      <c r="C484">
        <v>82</v>
      </c>
      <c r="D484" t="s">
        <v>18</v>
      </c>
      <c r="E484" s="5">
        <v>45519</v>
      </c>
      <c r="F484" s="5">
        <v>45522</v>
      </c>
      <c r="G484">
        <f t="shared" si="14"/>
        <v>3</v>
      </c>
      <c r="H484" t="s">
        <v>13</v>
      </c>
      <c r="I484" t="s">
        <v>165</v>
      </c>
      <c r="J484" s="2">
        <v>4494.01</v>
      </c>
      <c r="K484" s="6">
        <v>0.5</v>
      </c>
      <c r="L484" t="s">
        <v>25</v>
      </c>
      <c r="M484" s="3">
        <f t="shared" si="15"/>
        <v>0</v>
      </c>
      <c r="N484" s="9" t="str" cm="1">
        <f t="array" ref="N484">_xlfn.IFS(C484&lt;18,"Under 18",C484&lt;36,"18-35",C484&lt;51,"36-50",C484&lt;66,"51-65",C484&gt;=66,"Above 65")</f>
        <v>Above 65</v>
      </c>
      <c r="O484" s="6"/>
    </row>
    <row r="485" spans="1:15" x14ac:dyDescent="0.35">
      <c r="A485" t="s">
        <v>937</v>
      </c>
      <c r="B485" t="s">
        <v>938</v>
      </c>
      <c r="C485">
        <v>2</v>
      </c>
      <c r="D485" t="s">
        <v>12</v>
      </c>
      <c r="E485" s="5">
        <v>45360</v>
      </c>
      <c r="F485" s="5">
        <v>45364</v>
      </c>
      <c r="G485">
        <f t="shared" si="14"/>
        <v>4</v>
      </c>
      <c r="H485" t="s">
        <v>49</v>
      </c>
      <c r="I485" t="s">
        <v>123</v>
      </c>
      <c r="J485" s="2">
        <v>3929.21</v>
      </c>
      <c r="K485" s="6">
        <v>0.9</v>
      </c>
      <c r="L485" t="s">
        <v>20</v>
      </c>
      <c r="M485" s="3">
        <f t="shared" si="15"/>
        <v>0</v>
      </c>
      <c r="N485" s="9" t="str" cm="1">
        <f t="array" ref="N485">_xlfn.IFS(C485&lt;18,"Under 18",C485&lt;36,"18-35",C485&lt;51,"36-50",C485&lt;66,"51-65",C485&gt;=66,"Above 65")</f>
        <v>Under 18</v>
      </c>
      <c r="O485" s="6"/>
    </row>
    <row r="486" spans="1:15" x14ac:dyDescent="0.35">
      <c r="A486" t="s">
        <v>939</v>
      </c>
      <c r="B486" t="s">
        <v>854</v>
      </c>
      <c r="C486">
        <v>48</v>
      </c>
      <c r="D486" t="s">
        <v>18</v>
      </c>
      <c r="E486" s="5">
        <v>45983</v>
      </c>
      <c r="F486" s="5">
        <v>45997</v>
      </c>
      <c r="G486">
        <f t="shared" si="14"/>
        <v>14</v>
      </c>
      <c r="H486" t="s">
        <v>60</v>
      </c>
      <c r="I486" t="s">
        <v>77</v>
      </c>
      <c r="J486" s="2">
        <v>24600.43</v>
      </c>
      <c r="K486" s="6">
        <v>0.7</v>
      </c>
      <c r="L486" t="s">
        <v>20</v>
      </c>
      <c r="M486" s="3">
        <f t="shared" si="15"/>
        <v>0</v>
      </c>
      <c r="N486" s="9" t="str" cm="1">
        <f t="array" ref="N486">_xlfn.IFS(C486&lt;18,"Under 18",C486&lt;36,"18-35",C486&lt;51,"36-50",C486&lt;66,"51-65",C486&gt;=66,"Above 65")</f>
        <v>36-50</v>
      </c>
      <c r="O486" s="6"/>
    </row>
    <row r="487" spans="1:15" x14ac:dyDescent="0.35">
      <c r="A487" t="s">
        <v>940</v>
      </c>
      <c r="B487" t="s">
        <v>941</v>
      </c>
      <c r="C487">
        <v>60</v>
      </c>
      <c r="D487" t="s">
        <v>12</v>
      </c>
      <c r="E487" s="5">
        <v>45438</v>
      </c>
      <c r="F487" s="5">
        <v>45441</v>
      </c>
      <c r="G487">
        <f t="shared" si="14"/>
        <v>3</v>
      </c>
      <c r="H487" t="s">
        <v>23</v>
      </c>
      <c r="I487" t="s">
        <v>82</v>
      </c>
      <c r="J487" s="2">
        <v>4928.0600000000004</v>
      </c>
      <c r="K487" s="6">
        <v>0.6</v>
      </c>
      <c r="L487" t="s">
        <v>25</v>
      </c>
      <c r="M487" s="3">
        <f t="shared" si="15"/>
        <v>0</v>
      </c>
      <c r="N487" s="9" t="str" cm="1">
        <f t="array" ref="N487">_xlfn.IFS(C487&lt;18,"Under 18",C487&lt;36,"18-35",C487&lt;51,"36-50",C487&lt;66,"51-65",C487&gt;=66,"Above 65")</f>
        <v>51-65</v>
      </c>
      <c r="O487" s="6"/>
    </row>
    <row r="488" spans="1:15" x14ac:dyDescent="0.35">
      <c r="A488" t="s">
        <v>942</v>
      </c>
      <c r="B488" t="s">
        <v>99</v>
      </c>
      <c r="C488">
        <v>69</v>
      </c>
      <c r="D488" t="s">
        <v>18</v>
      </c>
      <c r="E488" s="5">
        <v>45686</v>
      </c>
      <c r="F488" s="5">
        <v>45687</v>
      </c>
      <c r="G488">
        <f t="shared" si="14"/>
        <v>1</v>
      </c>
      <c r="H488" t="s">
        <v>23</v>
      </c>
      <c r="I488" t="s">
        <v>28</v>
      </c>
      <c r="J488" s="2">
        <v>1292.28</v>
      </c>
      <c r="K488" s="6">
        <v>1</v>
      </c>
      <c r="L488" t="s">
        <v>15</v>
      </c>
      <c r="M488" s="3">
        <f t="shared" si="15"/>
        <v>1292.28</v>
      </c>
      <c r="N488" s="9" t="str" cm="1">
        <f t="array" ref="N488">_xlfn.IFS(C488&lt;18,"Under 18",C488&lt;36,"18-35",C488&lt;51,"36-50",C488&lt;66,"51-65",C488&gt;=66,"Above 65")</f>
        <v>Above 65</v>
      </c>
      <c r="O488" s="6"/>
    </row>
    <row r="489" spans="1:15" x14ac:dyDescent="0.35">
      <c r="A489" t="s">
        <v>943</v>
      </c>
      <c r="B489" t="s">
        <v>944</v>
      </c>
      <c r="C489">
        <v>14</v>
      </c>
      <c r="D489" t="s">
        <v>18</v>
      </c>
      <c r="E489" s="5">
        <v>45598</v>
      </c>
      <c r="F489" s="5">
        <v>45601</v>
      </c>
      <c r="G489">
        <f t="shared" si="14"/>
        <v>3</v>
      </c>
      <c r="H489" t="s">
        <v>49</v>
      </c>
      <c r="I489" t="s">
        <v>130</v>
      </c>
      <c r="J489" s="2">
        <v>3900.85</v>
      </c>
      <c r="K489" s="6">
        <v>0.9</v>
      </c>
      <c r="L489" t="s">
        <v>15</v>
      </c>
      <c r="M489" s="3">
        <f t="shared" si="15"/>
        <v>3900.85</v>
      </c>
      <c r="N489" s="9" t="str" cm="1">
        <f t="array" ref="N489">_xlfn.IFS(C489&lt;18,"Under 18",C489&lt;36,"18-35",C489&lt;51,"36-50",C489&lt;66,"51-65",C489&gt;=66,"Above 65")</f>
        <v>Under 18</v>
      </c>
      <c r="O489" s="6"/>
    </row>
    <row r="490" spans="1:15" x14ac:dyDescent="0.35">
      <c r="A490" t="s">
        <v>945</v>
      </c>
      <c r="B490" t="s">
        <v>946</v>
      </c>
      <c r="C490">
        <v>39</v>
      </c>
      <c r="D490" t="s">
        <v>18</v>
      </c>
      <c r="E490" s="5">
        <v>45771</v>
      </c>
      <c r="F490" s="5">
        <v>45776</v>
      </c>
      <c r="G490">
        <f t="shared" si="14"/>
        <v>5</v>
      </c>
      <c r="H490" t="s">
        <v>31</v>
      </c>
      <c r="I490" t="s">
        <v>234</v>
      </c>
      <c r="J490" s="2">
        <v>2872.81</v>
      </c>
      <c r="K490" s="6">
        <v>1</v>
      </c>
      <c r="L490" t="s">
        <v>20</v>
      </c>
      <c r="M490" s="3">
        <f t="shared" si="15"/>
        <v>0</v>
      </c>
      <c r="N490" s="9" t="str" cm="1">
        <f t="array" ref="N490">_xlfn.IFS(C490&lt;18,"Under 18",C490&lt;36,"18-35",C490&lt;51,"36-50",C490&lt;66,"51-65",C490&gt;=66,"Above 65")</f>
        <v>36-50</v>
      </c>
      <c r="O490" s="6"/>
    </row>
    <row r="491" spans="1:15" x14ac:dyDescent="0.35">
      <c r="A491" t="s">
        <v>947</v>
      </c>
      <c r="B491" t="s">
        <v>948</v>
      </c>
      <c r="C491">
        <v>43</v>
      </c>
      <c r="D491" t="s">
        <v>18</v>
      </c>
      <c r="E491" s="5">
        <v>45975</v>
      </c>
      <c r="F491" s="5">
        <v>45984</v>
      </c>
      <c r="G491">
        <f t="shared" si="14"/>
        <v>9</v>
      </c>
      <c r="H491" t="s">
        <v>60</v>
      </c>
      <c r="I491" t="s">
        <v>97</v>
      </c>
      <c r="J491" s="2">
        <v>16993.79</v>
      </c>
      <c r="K491" s="6">
        <v>0.7</v>
      </c>
      <c r="L491" t="s">
        <v>25</v>
      </c>
      <c r="M491" s="3">
        <f t="shared" si="15"/>
        <v>0</v>
      </c>
      <c r="N491" s="9" t="str" cm="1">
        <f t="array" ref="N491">_xlfn.IFS(C491&lt;18,"Under 18",C491&lt;36,"18-35",C491&lt;51,"36-50",C491&lt;66,"51-65",C491&gt;=66,"Above 65")</f>
        <v>36-50</v>
      </c>
      <c r="O491" s="6"/>
    </row>
    <row r="492" spans="1:15" x14ac:dyDescent="0.35">
      <c r="A492" t="s">
        <v>949</v>
      </c>
      <c r="B492" t="s">
        <v>950</v>
      </c>
      <c r="C492">
        <v>11</v>
      </c>
      <c r="D492" t="s">
        <v>12</v>
      </c>
      <c r="E492" s="5">
        <v>45979</v>
      </c>
      <c r="F492" s="5">
        <v>45983</v>
      </c>
      <c r="G492">
        <f t="shared" si="14"/>
        <v>4</v>
      </c>
      <c r="H492" t="s">
        <v>49</v>
      </c>
      <c r="I492" t="s">
        <v>378</v>
      </c>
      <c r="J492" s="2">
        <v>4693.3500000000004</v>
      </c>
      <c r="K492" s="6">
        <v>0.8</v>
      </c>
      <c r="L492" t="s">
        <v>15</v>
      </c>
      <c r="M492" s="3">
        <f t="shared" si="15"/>
        <v>4693.3500000000004</v>
      </c>
      <c r="N492" s="9" t="str" cm="1">
        <f t="array" ref="N492">_xlfn.IFS(C492&lt;18,"Under 18",C492&lt;36,"18-35",C492&lt;51,"36-50",C492&lt;66,"51-65",C492&gt;=66,"Above 65")</f>
        <v>Under 18</v>
      </c>
      <c r="O492" s="6"/>
    </row>
    <row r="493" spans="1:15" x14ac:dyDescent="0.35">
      <c r="A493" t="s">
        <v>951</v>
      </c>
      <c r="B493" t="s">
        <v>952</v>
      </c>
      <c r="C493">
        <v>71</v>
      </c>
      <c r="D493" t="s">
        <v>18</v>
      </c>
      <c r="E493" s="5">
        <v>45990</v>
      </c>
      <c r="F493" s="5">
        <v>45991</v>
      </c>
      <c r="G493">
        <f t="shared" si="14"/>
        <v>1</v>
      </c>
      <c r="H493" t="s">
        <v>23</v>
      </c>
      <c r="I493" t="s">
        <v>221</v>
      </c>
      <c r="J493" s="2">
        <v>2381.67</v>
      </c>
      <c r="K493" s="6">
        <v>0.6</v>
      </c>
      <c r="L493" t="s">
        <v>25</v>
      </c>
      <c r="M493" s="3">
        <f t="shared" si="15"/>
        <v>0</v>
      </c>
      <c r="N493" s="9" t="str" cm="1">
        <f t="array" ref="N493">_xlfn.IFS(C493&lt;18,"Under 18",C493&lt;36,"18-35",C493&lt;51,"36-50",C493&lt;66,"51-65",C493&gt;=66,"Above 65")</f>
        <v>Above 65</v>
      </c>
      <c r="O493" s="6"/>
    </row>
    <row r="494" spans="1:15" x14ac:dyDescent="0.35">
      <c r="A494" t="s">
        <v>953</v>
      </c>
      <c r="B494" t="s">
        <v>954</v>
      </c>
      <c r="C494">
        <v>14</v>
      </c>
      <c r="D494" t="s">
        <v>12</v>
      </c>
      <c r="E494" s="5">
        <v>45387</v>
      </c>
      <c r="F494" s="5">
        <v>45389</v>
      </c>
      <c r="G494">
        <f t="shared" si="14"/>
        <v>2</v>
      </c>
      <c r="H494" t="s">
        <v>49</v>
      </c>
      <c r="I494" t="s">
        <v>117</v>
      </c>
      <c r="J494" s="2">
        <v>3014.2</v>
      </c>
      <c r="K494" s="6">
        <v>0.6</v>
      </c>
      <c r="L494" t="s">
        <v>20</v>
      </c>
      <c r="M494" s="3">
        <f t="shared" si="15"/>
        <v>0</v>
      </c>
      <c r="N494" s="9" t="str" cm="1">
        <f t="array" ref="N494">_xlfn.IFS(C494&lt;18,"Under 18",C494&lt;36,"18-35",C494&lt;51,"36-50",C494&lt;66,"51-65",C494&gt;=66,"Above 65")</f>
        <v>Under 18</v>
      </c>
      <c r="O494" s="6"/>
    </row>
    <row r="495" spans="1:15" x14ac:dyDescent="0.35">
      <c r="A495" t="s">
        <v>955</v>
      </c>
      <c r="B495" t="s">
        <v>956</v>
      </c>
      <c r="C495">
        <v>45</v>
      </c>
      <c r="D495" t="s">
        <v>18</v>
      </c>
      <c r="E495" s="5">
        <v>45431</v>
      </c>
      <c r="F495" s="5">
        <v>45439</v>
      </c>
      <c r="G495">
        <f t="shared" si="14"/>
        <v>8</v>
      </c>
      <c r="H495" t="s">
        <v>70</v>
      </c>
      <c r="I495" t="s">
        <v>295</v>
      </c>
      <c r="J495" s="2">
        <v>13434.66</v>
      </c>
      <c r="K495" s="6">
        <v>0.6</v>
      </c>
      <c r="L495" t="s">
        <v>20</v>
      </c>
      <c r="M495" s="3">
        <f t="shared" si="15"/>
        <v>0</v>
      </c>
      <c r="N495" s="9" t="str" cm="1">
        <f t="array" ref="N495">_xlfn.IFS(C495&lt;18,"Under 18",C495&lt;36,"18-35",C495&lt;51,"36-50",C495&lt;66,"51-65",C495&gt;=66,"Above 65")</f>
        <v>36-50</v>
      </c>
      <c r="O495" s="6"/>
    </row>
    <row r="496" spans="1:15" x14ac:dyDescent="0.35">
      <c r="A496" t="s">
        <v>957</v>
      </c>
      <c r="B496" t="s">
        <v>958</v>
      </c>
      <c r="C496">
        <v>29</v>
      </c>
      <c r="D496" t="s">
        <v>12</v>
      </c>
      <c r="E496" s="5">
        <v>45792</v>
      </c>
      <c r="F496" s="5">
        <v>45803</v>
      </c>
      <c r="G496">
        <f t="shared" si="14"/>
        <v>11</v>
      </c>
      <c r="H496" t="s">
        <v>60</v>
      </c>
      <c r="I496" t="s">
        <v>142</v>
      </c>
      <c r="J496" s="2">
        <v>13647.71</v>
      </c>
      <c r="K496" s="6">
        <v>0.5</v>
      </c>
      <c r="L496" t="s">
        <v>15</v>
      </c>
      <c r="M496" s="3">
        <f t="shared" si="15"/>
        <v>13647.71</v>
      </c>
      <c r="N496" s="9" t="str" cm="1">
        <f t="array" ref="N496">_xlfn.IFS(C496&lt;18,"Under 18",C496&lt;36,"18-35",C496&lt;51,"36-50",C496&lt;66,"51-65",C496&gt;=66,"Above 65")</f>
        <v>18-35</v>
      </c>
      <c r="O496" s="6"/>
    </row>
    <row r="497" spans="1:15" x14ac:dyDescent="0.35">
      <c r="A497" t="s">
        <v>959</v>
      </c>
      <c r="B497" t="s">
        <v>960</v>
      </c>
      <c r="C497">
        <v>44</v>
      </c>
      <c r="D497" t="s">
        <v>12</v>
      </c>
      <c r="E497" s="5">
        <v>45932</v>
      </c>
      <c r="F497" s="5">
        <v>45934</v>
      </c>
      <c r="G497">
        <f t="shared" si="14"/>
        <v>2</v>
      </c>
      <c r="H497" t="s">
        <v>60</v>
      </c>
      <c r="I497" t="s">
        <v>133</v>
      </c>
      <c r="J497" s="2">
        <v>4992.76</v>
      </c>
      <c r="K497" s="6">
        <v>0.6</v>
      </c>
      <c r="L497" t="s">
        <v>15</v>
      </c>
      <c r="M497" s="3">
        <f t="shared" si="15"/>
        <v>4992.76</v>
      </c>
      <c r="N497" s="9" t="str" cm="1">
        <f t="array" ref="N497">_xlfn.IFS(C497&lt;18,"Under 18",C497&lt;36,"18-35",C497&lt;51,"36-50",C497&lt;66,"51-65",C497&gt;=66,"Above 65")</f>
        <v>36-50</v>
      </c>
      <c r="O497" s="6"/>
    </row>
    <row r="498" spans="1:15" x14ac:dyDescent="0.35">
      <c r="A498" t="s">
        <v>961</v>
      </c>
      <c r="B498" t="s">
        <v>962</v>
      </c>
      <c r="C498">
        <v>42</v>
      </c>
      <c r="D498" t="s">
        <v>12</v>
      </c>
      <c r="E498" s="5">
        <v>45657</v>
      </c>
      <c r="F498" s="5">
        <v>45659</v>
      </c>
      <c r="G498">
        <f t="shared" si="14"/>
        <v>2</v>
      </c>
      <c r="H498" t="s">
        <v>23</v>
      </c>
      <c r="I498" t="s">
        <v>41</v>
      </c>
      <c r="J498" s="2">
        <v>4370.5</v>
      </c>
      <c r="K498" s="6">
        <v>0.7</v>
      </c>
      <c r="L498" t="s">
        <v>20</v>
      </c>
      <c r="M498" s="3">
        <f t="shared" si="15"/>
        <v>0</v>
      </c>
      <c r="N498" s="9" t="str" cm="1">
        <f t="array" ref="N498">_xlfn.IFS(C498&lt;18,"Under 18",C498&lt;36,"18-35",C498&lt;51,"36-50",C498&lt;66,"51-65",C498&gt;=66,"Above 65")</f>
        <v>36-50</v>
      </c>
      <c r="O498" s="6"/>
    </row>
    <row r="499" spans="1:15" x14ac:dyDescent="0.35">
      <c r="A499" t="s">
        <v>963</v>
      </c>
      <c r="B499" t="s">
        <v>964</v>
      </c>
      <c r="C499">
        <v>48</v>
      </c>
      <c r="D499" t="s">
        <v>18</v>
      </c>
      <c r="E499" s="5">
        <v>45661</v>
      </c>
      <c r="F499" s="5">
        <v>45665</v>
      </c>
      <c r="G499">
        <f t="shared" si="14"/>
        <v>4</v>
      </c>
      <c r="H499" t="s">
        <v>31</v>
      </c>
      <c r="I499" t="s">
        <v>87</v>
      </c>
      <c r="J499" s="2">
        <v>3007.7</v>
      </c>
      <c r="K499" s="6">
        <v>0.8</v>
      </c>
      <c r="L499" t="s">
        <v>20</v>
      </c>
      <c r="M499" s="3">
        <f t="shared" si="15"/>
        <v>0</v>
      </c>
      <c r="N499" s="9" t="str" cm="1">
        <f t="array" ref="N499">_xlfn.IFS(C499&lt;18,"Under 18",C499&lt;36,"18-35",C499&lt;51,"36-50",C499&lt;66,"51-65",C499&gt;=66,"Above 65")</f>
        <v>36-50</v>
      </c>
      <c r="O499" s="6"/>
    </row>
    <row r="500" spans="1:15" x14ac:dyDescent="0.35">
      <c r="A500" t="s">
        <v>965</v>
      </c>
      <c r="B500" t="s">
        <v>966</v>
      </c>
      <c r="C500">
        <v>50</v>
      </c>
      <c r="D500" t="s">
        <v>18</v>
      </c>
      <c r="E500" s="5">
        <v>45666</v>
      </c>
      <c r="F500" s="5">
        <v>45673</v>
      </c>
      <c r="G500">
        <f t="shared" si="14"/>
        <v>7</v>
      </c>
      <c r="H500" t="s">
        <v>70</v>
      </c>
      <c r="I500" t="s">
        <v>94</v>
      </c>
      <c r="J500" s="2">
        <v>17578.87</v>
      </c>
      <c r="K500" s="6">
        <v>0.8</v>
      </c>
      <c r="L500" t="s">
        <v>15</v>
      </c>
      <c r="M500" s="3">
        <f t="shared" si="15"/>
        <v>17578.87</v>
      </c>
      <c r="N500" s="9" t="str" cm="1">
        <f t="array" ref="N500">_xlfn.IFS(C500&lt;18,"Under 18",C500&lt;36,"18-35",C500&lt;51,"36-50",C500&lt;66,"51-65",C500&gt;=66,"Above 65")</f>
        <v>36-50</v>
      </c>
      <c r="O500" s="6"/>
    </row>
    <row r="501" spans="1:15" x14ac:dyDescent="0.35">
      <c r="A501" t="s">
        <v>967</v>
      </c>
      <c r="B501" t="s">
        <v>737</v>
      </c>
      <c r="C501">
        <v>78</v>
      </c>
      <c r="D501" t="s">
        <v>12</v>
      </c>
      <c r="E501" s="5">
        <v>45910</v>
      </c>
      <c r="F501" s="5">
        <v>45912</v>
      </c>
      <c r="G501">
        <f t="shared" si="14"/>
        <v>2</v>
      </c>
      <c r="H501" t="s">
        <v>31</v>
      </c>
      <c r="I501" t="s">
        <v>53</v>
      </c>
      <c r="J501" s="2">
        <v>1203.76</v>
      </c>
      <c r="K501" s="6">
        <v>0.9</v>
      </c>
      <c r="L501" t="s">
        <v>20</v>
      </c>
      <c r="M501" s="3">
        <f t="shared" si="15"/>
        <v>0</v>
      </c>
      <c r="N501" s="9" t="str" cm="1">
        <f t="array" ref="N501">_xlfn.IFS(C501&lt;18,"Under 18",C501&lt;36,"18-35",C501&lt;51,"36-50",C501&lt;66,"51-65",C501&gt;=66,"Above 65")</f>
        <v>Above 65</v>
      </c>
      <c r="O501" s="6"/>
    </row>
    <row r="502" spans="1:15" x14ac:dyDescent="0.35">
      <c r="A502" t="s">
        <v>968</v>
      </c>
      <c r="B502" t="s">
        <v>969</v>
      </c>
      <c r="C502">
        <v>22</v>
      </c>
      <c r="D502" t="s">
        <v>18</v>
      </c>
      <c r="E502" s="5">
        <v>45639</v>
      </c>
      <c r="F502" s="5">
        <v>45642</v>
      </c>
      <c r="G502">
        <f t="shared" si="14"/>
        <v>3</v>
      </c>
      <c r="H502" t="s">
        <v>23</v>
      </c>
      <c r="I502" t="s">
        <v>24</v>
      </c>
      <c r="J502" s="2">
        <v>2453.12</v>
      </c>
      <c r="K502" s="6">
        <v>0.5</v>
      </c>
      <c r="L502" t="s">
        <v>15</v>
      </c>
      <c r="M502" s="3">
        <f t="shared" si="15"/>
        <v>2453.12</v>
      </c>
      <c r="N502" s="9" t="str" cm="1">
        <f t="array" ref="N502">_xlfn.IFS(C502&lt;18,"Under 18",C502&lt;36,"18-35",C502&lt;51,"36-50",C502&lt;66,"51-65",C502&gt;=66,"Above 65")</f>
        <v>18-35</v>
      </c>
      <c r="O502" s="6"/>
    </row>
    <row r="503" spans="1:15" x14ac:dyDescent="0.35">
      <c r="A503" t="s">
        <v>970</v>
      </c>
      <c r="B503" t="s">
        <v>971</v>
      </c>
      <c r="C503">
        <v>64</v>
      </c>
      <c r="D503" t="s">
        <v>12</v>
      </c>
      <c r="E503" s="5">
        <v>45410</v>
      </c>
      <c r="F503" s="5">
        <v>45413</v>
      </c>
      <c r="G503">
        <f t="shared" si="14"/>
        <v>3</v>
      </c>
      <c r="H503" t="s">
        <v>13</v>
      </c>
      <c r="I503" t="s">
        <v>102</v>
      </c>
      <c r="J503" s="2">
        <v>6452.72</v>
      </c>
      <c r="K503" s="6">
        <v>0.7</v>
      </c>
      <c r="L503" t="s">
        <v>15</v>
      </c>
      <c r="M503" s="3">
        <f t="shared" si="15"/>
        <v>6452.72</v>
      </c>
      <c r="N503" s="9" t="str" cm="1">
        <f t="array" ref="N503">_xlfn.IFS(C503&lt;18,"Under 18",C503&lt;36,"18-35",C503&lt;51,"36-50",C503&lt;66,"51-65",C503&gt;=66,"Above 65")</f>
        <v>51-65</v>
      </c>
      <c r="O503" s="6"/>
    </row>
    <row r="504" spans="1:15" x14ac:dyDescent="0.35">
      <c r="A504" t="s">
        <v>972</v>
      </c>
      <c r="B504" t="s">
        <v>973</v>
      </c>
      <c r="C504">
        <v>10</v>
      </c>
      <c r="D504" t="s">
        <v>18</v>
      </c>
      <c r="E504" s="5">
        <v>45504</v>
      </c>
      <c r="F504" s="5">
        <v>45507</v>
      </c>
      <c r="G504">
        <f t="shared" si="14"/>
        <v>3</v>
      </c>
      <c r="H504" t="s">
        <v>49</v>
      </c>
      <c r="I504" t="s">
        <v>50</v>
      </c>
      <c r="J504" s="2">
        <v>3215.48</v>
      </c>
      <c r="K504" s="6">
        <v>0.9</v>
      </c>
      <c r="L504" t="s">
        <v>15</v>
      </c>
      <c r="M504" s="3">
        <f t="shared" si="15"/>
        <v>3215.48</v>
      </c>
      <c r="N504" s="9" t="str" cm="1">
        <f t="array" ref="N504">_xlfn.IFS(C504&lt;18,"Under 18",C504&lt;36,"18-35",C504&lt;51,"36-50",C504&lt;66,"51-65",C504&gt;=66,"Above 65")</f>
        <v>Under 18</v>
      </c>
      <c r="O504" s="6"/>
    </row>
    <row r="505" spans="1:15" x14ac:dyDescent="0.35">
      <c r="A505" t="s">
        <v>974</v>
      </c>
      <c r="B505" t="s">
        <v>975</v>
      </c>
      <c r="C505">
        <v>62</v>
      </c>
      <c r="D505" t="s">
        <v>12</v>
      </c>
      <c r="E505" s="5">
        <v>45678</v>
      </c>
      <c r="F505" s="5">
        <v>45684</v>
      </c>
      <c r="G505">
        <f t="shared" si="14"/>
        <v>6</v>
      </c>
      <c r="H505" t="s">
        <v>13</v>
      </c>
      <c r="I505" t="s">
        <v>38</v>
      </c>
      <c r="J505" s="2">
        <v>17458.62</v>
      </c>
      <c r="K505" s="6">
        <v>0</v>
      </c>
      <c r="L505" t="s">
        <v>15</v>
      </c>
      <c r="M505" s="3">
        <f t="shared" si="15"/>
        <v>17458.62</v>
      </c>
      <c r="N505" s="9" t="str" cm="1">
        <f t="array" ref="N505">_xlfn.IFS(C505&lt;18,"Under 18",C505&lt;36,"18-35",C505&lt;51,"36-50",C505&lt;66,"51-65",C505&gt;=66,"Above 65")</f>
        <v>51-65</v>
      </c>
      <c r="O505" s="6"/>
    </row>
    <row r="506" spans="1:15" x14ac:dyDescent="0.35">
      <c r="A506" t="s">
        <v>976</v>
      </c>
      <c r="B506" t="s">
        <v>789</v>
      </c>
      <c r="C506">
        <v>57</v>
      </c>
      <c r="D506" t="s">
        <v>12</v>
      </c>
      <c r="E506" s="5">
        <v>45993</v>
      </c>
      <c r="F506" s="5">
        <v>45998</v>
      </c>
      <c r="G506">
        <f t="shared" si="14"/>
        <v>5</v>
      </c>
      <c r="H506" t="s">
        <v>13</v>
      </c>
      <c r="I506" t="s">
        <v>14</v>
      </c>
      <c r="J506" s="2">
        <v>14707.56</v>
      </c>
      <c r="K506" s="6">
        <v>0.8</v>
      </c>
      <c r="L506" t="s">
        <v>25</v>
      </c>
      <c r="M506" s="3">
        <f t="shared" si="15"/>
        <v>0</v>
      </c>
      <c r="N506" s="9" t="str" cm="1">
        <f t="array" ref="N506">_xlfn.IFS(C506&lt;18,"Under 18",C506&lt;36,"18-35",C506&lt;51,"36-50",C506&lt;66,"51-65",C506&gt;=66,"Above 65")</f>
        <v>51-65</v>
      </c>
      <c r="O506" s="6"/>
    </row>
    <row r="507" spans="1:15" x14ac:dyDescent="0.35">
      <c r="A507" t="s">
        <v>977</v>
      </c>
      <c r="B507" t="s">
        <v>978</v>
      </c>
      <c r="C507">
        <v>52</v>
      </c>
      <c r="D507" t="s">
        <v>12</v>
      </c>
      <c r="E507" s="5">
        <v>45486</v>
      </c>
      <c r="F507" s="5">
        <v>45490</v>
      </c>
      <c r="G507">
        <f t="shared" si="14"/>
        <v>4</v>
      </c>
      <c r="H507" t="s">
        <v>31</v>
      </c>
      <c r="I507" t="s">
        <v>53</v>
      </c>
      <c r="J507" s="2">
        <v>5116.62</v>
      </c>
      <c r="K507" s="6">
        <v>0.9</v>
      </c>
      <c r="L507" t="s">
        <v>25</v>
      </c>
      <c r="M507" s="3">
        <f t="shared" si="15"/>
        <v>0</v>
      </c>
      <c r="N507" s="9" t="str" cm="1">
        <f t="array" ref="N507">_xlfn.IFS(C507&lt;18,"Under 18",C507&lt;36,"18-35",C507&lt;51,"36-50",C507&lt;66,"51-65",C507&gt;=66,"Above 65")</f>
        <v>51-65</v>
      </c>
      <c r="O507" s="6"/>
    </row>
    <row r="508" spans="1:15" x14ac:dyDescent="0.35">
      <c r="A508" t="s">
        <v>979</v>
      </c>
      <c r="B508" t="s">
        <v>626</v>
      </c>
      <c r="C508">
        <v>29</v>
      </c>
      <c r="D508" t="s">
        <v>18</v>
      </c>
      <c r="E508" s="5">
        <v>45510</v>
      </c>
      <c r="F508" s="5">
        <v>45517</v>
      </c>
      <c r="G508">
        <f t="shared" si="14"/>
        <v>7</v>
      </c>
      <c r="H508" t="s">
        <v>60</v>
      </c>
      <c r="I508" t="s">
        <v>97</v>
      </c>
      <c r="J508" s="2">
        <v>11957.78</v>
      </c>
      <c r="K508" s="6">
        <v>0.8</v>
      </c>
      <c r="L508" t="s">
        <v>20</v>
      </c>
      <c r="M508" s="3">
        <f t="shared" si="15"/>
        <v>0</v>
      </c>
      <c r="N508" s="9" t="str" cm="1">
        <f t="array" ref="N508">_xlfn.IFS(C508&lt;18,"Under 18",C508&lt;36,"18-35",C508&lt;51,"36-50",C508&lt;66,"51-65",C508&gt;=66,"Above 65")</f>
        <v>18-35</v>
      </c>
      <c r="O508" s="6"/>
    </row>
    <row r="509" spans="1:15" x14ac:dyDescent="0.35">
      <c r="A509" t="s">
        <v>980</v>
      </c>
      <c r="B509" t="s">
        <v>136</v>
      </c>
      <c r="C509">
        <v>76</v>
      </c>
      <c r="D509" t="s">
        <v>18</v>
      </c>
      <c r="E509" s="5">
        <v>45525</v>
      </c>
      <c r="F509" s="5">
        <v>45526</v>
      </c>
      <c r="G509">
        <f t="shared" si="14"/>
        <v>1</v>
      </c>
      <c r="H509" t="s">
        <v>23</v>
      </c>
      <c r="I509" t="s">
        <v>28</v>
      </c>
      <c r="J509" s="2">
        <v>2237.66</v>
      </c>
      <c r="K509" s="6">
        <v>0.8</v>
      </c>
      <c r="L509" t="s">
        <v>15</v>
      </c>
      <c r="M509" s="3">
        <f t="shared" si="15"/>
        <v>2237.66</v>
      </c>
      <c r="N509" s="9" t="str" cm="1">
        <f t="array" ref="N509">_xlfn.IFS(C509&lt;18,"Under 18",C509&lt;36,"18-35",C509&lt;51,"36-50",C509&lt;66,"51-65",C509&gt;=66,"Above 65")</f>
        <v>Above 65</v>
      </c>
      <c r="O509" s="6"/>
    </row>
    <row r="510" spans="1:15" x14ac:dyDescent="0.35">
      <c r="A510" t="s">
        <v>981</v>
      </c>
      <c r="B510" t="s">
        <v>982</v>
      </c>
      <c r="C510">
        <v>29</v>
      </c>
      <c r="D510" t="s">
        <v>12</v>
      </c>
      <c r="E510" s="5">
        <v>45856</v>
      </c>
      <c r="F510" s="5">
        <v>45857</v>
      </c>
      <c r="G510">
        <f t="shared" si="14"/>
        <v>1</v>
      </c>
      <c r="H510" t="s">
        <v>31</v>
      </c>
      <c r="I510" t="s">
        <v>44</v>
      </c>
      <c r="J510" s="2">
        <v>912.18</v>
      </c>
      <c r="K510" s="6">
        <v>0.5</v>
      </c>
      <c r="L510" t="s">
        <v>20</v>
      </c>
      <c r="M510" s="3">
        <f t="shared" si="15"/>
        <v>0</v>
      </c>
      <c r="N510" s="9" t="str" cm="1">
        <f t="array" ref="N510">_xlfn.IFS(C510&lt;18,"Under 18",C510&lt;36,"18-35",C510&lt;51,"36-50",C510&lt;66,"51-65",C510&gt;=66,"Above 65")</f>
        <v>18-35</v>
      </c>
      <c r="O510" s="6"/>
    </row>
    <row r="511" spans="1:15" x14ac:dyDescent="0.35">
      <c r="A511" t="s">
        <v>983</v>
      </c>
      <c r="B511" t="s">
        <v>984</v>
      </c>
      <c r="C511">
        <v>63</v>
      </c>
      <c r="D511" t="s">
        <v>18</v>
      </c>
      <c r="E511" s="5">
        <v>45666</v>
      </c>
      <c r="F511" s="5">
        <v>45667</v>
      </c>
      <c r="G511">
        <f t="shared" si="14"/>
        <v>1</v>
      </c>
      <c r="H511" t="s">
        <v>23</v>
      </c>
      <c r="I511" t="s">
        <v>41</v>
      </c>
      <c r="J511" s="2">
        <v>2435.08</v>
      </c>
      <c r="K511" s="6">
        <v>0.6</v>
      </c>
      <c r="L511" t="s">
        <v>25</v>
      </c>
      <c r="M511" s="3">
        <f t="shared" si="15"/>
        <v>0</v>
      </c>
      <c r="N511" s="9" t="str" cm="1">
        <f t="array" ref="N511">_xlfn.IFS(C511&lt;18,"Under 18",C511&lt;36,"18-35",C511&lt;51,"36-50",C511&lt;66,"51-65",C511&gt;=66,"Above 65")</f>
        <v>51-65</v>
      </c>
      <c r="O511" s="6"/>
    </row>
    <row r="512" spans="1:15" x14ac:dyDescent="0.35">
      <c r="A512" t="s">
        <v>985</v>
      </c>
      <c r="B512" t="s">
        <v>76</v>
      </c>
      <c r="C512">
        <v>55</v>
      </c>
      <c r="D512" t="s">
        <v>12</v>
      </c>
      <c r="E512" s="5">
        <v>45328</v>
      </c>
      <c r="F512" s="5">
        <v>45340</v>
      </c>
      <c r="G512">
        <f t="shared" si="14"/>
        <v>12</v>
      </c>
      <c r="H512" t="s">
        <v>60</v>
      </c>
      <c r="I512" t="s">
        <v>142</v>
      </c>
      <c r="J512" s="2">
        <v>26103.65</v>
      </c>
      <c r="K512" s="6">
        <v>0.6</v>
      </c>
      <c r="L512" t="s">
        <v>25</v>
      </c>
      <c r="M512" s="3">
        <f t="shared" si="15"/>
        <v>0</v>
      </c>
      <c r="N512" s="9" t="str" cm="1">
        <f t="array" ref="N512">_xlfn.IFS(C512&lt;18,"Under 18",C512&lt;36,"18-35",C512&lt;51,"36-50",C512&lt;66,"51-65",C512&gt;=66,"Above 65")</f>
        <v>51-65</v>
      </c>
      <c r="O512" s="6"/>
    </row>
    <row r="513" spans="1:15" x14ac:dyDescent="0.35">
      <c r="A513" t="s">
        <v>986</v>
      </c>
      <c r="B513" t="s">
        <v>987</v>
      </c>
      <c r="C513">
        <v>6</v>
      </c>
      <c r="D513" t="s">
        <v>12</v>
      </c>
      <c r="E513" s="5">
        <v>45695</v>
      </c>
      <c r="F513" s="5">
        <v>45696</v>
      </c>
      <c r="G513">
        <f t="shared" si="14"/>
        <v>1</v>
      </c>
      <c r="H513" t="s">
        <v>49</v>
      </c>
      <c r="I513" t="s">
        <v>50</v>
      </c>
      <c r="J513" s="2">
        <v>762.87</v>
      </c>
      <c r="K513" s="6">
        <v>0.8</v>
      </c>
      <c r="L513" t="s">
        <v>15</v>
      </c>
      <c r="M513" s="3">
        <f t="shared" si="15"/>
        <v>762.87</v>
      </c>
      <c r="N513" s="9" t="str" cm="1">
        <f t="array" ref="N513">_xlfn.IFS(C513&lt;18,"Under 18",C513&lt;36,"18-35",C513&lt;51,"36-50",C513&lt;66,"51-65",C513&gt;=66,"Above 65")</f>
        <v>Under 18</v>
      </c>
      <c r="O513" s="6"/>
    </row>
    <row r="514" spans="1:15" x14ac:dyDescent="0.35">
      <c r="A514" t="s">
        <v>988</v>
      </c>
      <c r="B514" t="s">
        <v>989</v>
      </c>
      <c r="C514">
        <v>15</v>
      </c>
      <c r="D514" t="s">
        <v>18</v>
      </c>
      <c r="E514" s="5">
        <v>45945</v>
      </c>
      <c r="F514" s="5">
        <v>45946</v>
      </c>
      <c r="G514">
        <f t="shared" si="14"/>
        <v>1</v>
      </c>
      <c r="H514" t="s">
        <v>49</v>
      </c>
      <c r="I514" t="s">
        <v>120</v>
      </c>
      <c r="J514" s="2">
        <v>653.57000000000005</v>
      </c>
      <c r="K514" s="6">
        <v>0.7</v>
      </c>
      <c r="L514" t="s">
        <v>20</v>
      </c>
      <c r="M514" s="3">
        <f t="shared" si="15"/>
        <v>0</v>
      </c>
      <c r="N514" s="9" t="str" cm="1">
        <f t="array" ref="N514">_xlfn.IFS(C514&lt;18,"Under 18",C514&lt;36,"18-35",C514&lt;51,"36-50",C514&lt;66,"51-65",C514&gt;=66,"Above 65")</f>
        <v>Under 18</v>
      </c>
      <c r="O514" s="6"/>
    </row>
    <row r="515" spans="1:15" x14ac:dyDescent="0.35">
      <c r="A515" t="s">
        <v>990</v>
      </c>
      <c r="B515" t="s">
        <v>466</v>
      </c>
      <c r="C515">
        <v>60</v>
      </c>
      <c r="D515" t="s">
        <v>18</v>
      </c>
      <c r="E515" s="5">
        <v>46015</v>
      </c>
      <c r="F515" s="5">
        <v>46018</v>
      </c>
      <c r="G515">
        <f t="shared" ref="G515:G578" si="16">DATEDIF(E515,F515,"D")</f>
        <v>3</v>
      </c>
      <c r="H515" t="s">
        <v>60</v>
      </c>
      <c r="I515" t="s">
        <v>97</v>
      </c>
      <c r="J515" s="2">
        <v>7007.11</v>
      </c>
      <c r="K515" s="6">
        <v>0.8</v>
      </c>
      <c r="L515" t="s">
        <v>15</v>
      </c>
      <c r="M515" s="3">
        <f t="shared" ref="M515:M578" si="17">IF(L515 = "Paid",J515,0)</f>
        <v>7007.11</v>
      </c>
      <c r="N515" s="9" t="str" cm="1">
        <f t="array" ref="N515">_xlfn.IFS(C515&lt;18,"Under 18",C515&lt;36,"18-35",C515&lt;51,"36-50",C515&lt;66,"51-65",C515&gt;=66,"Above 65")</f>
        <v>51-65</v>
      </c>
      <c r="O515" s="6"/>
    </row>
    <row r="516" spans="1:15" x14ac:dyDescent="0.35">
      <c r="A516" t="s">
        <v>991</v>
      </c>
      <c r="B516" t="s">
        <v>992</v>
      </c>
      <c r="C516">
        <v>66</v>
      </c>
      <c r="D516" t="s">
        <v>12</v>
      </c>
      <c r="E516" s="5">
        <v>45792</v>
      </c>
      <c r="F516" s="5">
        <v>45799</v>
      </c>
      <c r="G516">
        <f t="shared" si="16"/>
        <v>7</v>
      </c>
      <c r="H516" t="s">
        <v>31</v>
      </c>
      <c r="I516" t="s">
        <v>44</v>
      </c>
      <c r="J516" s="2">
        <v>9641.39</v>
      </c>
      <c r="K516" s="6">
        <v>0.8</v>
      </c>
      <c r="L516" t="s">
        <v>15</v>
      </c>
      <c r="M516" s="3">
        <f t="shared" si="17"/>
        <v>9641.39</v>
      </c>
      <c r="N516" s="9" t="str" cm="1">
        <f t="array" ref="N516">_xlfn.IFS(C516&lt;18,"Under 18",C516&lt;36,"18-35",C516&lt;51,"36-50",C516&lt;66,"51-65",C516&gt;=66,"Above 65")</f>
        <v>Above 65</v>
      </c>
      <c r="O516" s="6"/>
    </row>
    <row r="517" spans="1:15" x14ac:dyDescent="0.35">
      <c r="A517" t="s">
        <v>993</v>
      </c>
      <c r="B517" t="s">
        <v>994</v>
      </c>
      <c r="C517">
        <v>41</v>
      </c>
      <c r="D517" t="s">
        <v>18</v>
      </c>
      <c r="E517" s="5">
        <v>45748</v>
      </c>
      <c r="F517" s="5">
        <v>45758</v>
      </c>
      <c r="G517">
        <f t="shared" si="16"/>
        <v>10</v>
      </c>
      <c r="H517" t="s">
        <v>60</v>
      </c>
      <c r="I517" t="s">
        <v>97</v>
      </c>
      <c r="J517" s="2">
        <v>20277.68</v>
      </c>
      <c r="K517" s="6">
        <v>0.6</v>
      </c>
      <c r="L517" t="s">
        <v>20</v>
      </c>
      <c r="M517" s="3">
        <f t="shared" si="17"/>
        <v>0</v>
      </c>
      <c r="N517" s="9" t="str" cm="1">
        <f t="array" ref="N517">_xlfn.IFS(C517&lt;18,"Under 18",C517&lt;36,"18-35",C517&lt;51,"36-50",C517&lt;66,"51-65",C517&gt;=66,"Above 65")</f>
        <v>36-50</v>
      </c>
      <c r="O517" s="6"/>
    </row>
    <row r="518" spans="1:15" x14ac:dyDescent="0.35">
      <c r="A518" t="s">
        <v>995</v>
      </c>
      <c r="B518" t="s">
        <v>996</v>
      </c>
      <c r="C518">
        <v>56</v>
      </c>
      <c r="D518" t="s">
        <v>18</v>
      </c>
      <c r="E518" s="5">
        <v>45950</v>
      </c>
      <c r="F518" s="5">
        <v>45957</v>
      </c>
      <c r="G518">
        <f t="shared" si="16"/>
        <v>7</v>
      </c>
      <c r="H518" t="s">
        <v>13</v>
      </c>
      <c r="I518" t="s">
        <v>111</v>
      </c>
      <c r="J518" s="2">
        <v>10406.790000000001</v>
      </c>
      <c r="K518" s="6">
        <v>0.7</v>
      </c>
      <c r="L518" t="s">
        <v>20</v>
      </c>
      <c r="M518" s="3">
        <f t="shared" si="17"/>
        <v>0</v>
      </c>
      <c r="N518" s="9" t="str" cm="1">
        <f t="array" ref="N518">_xlfn.IFS(C518&lt;18,"Under 18",C518&lt;36,"18-35",C518&lt;51,"36-50",C518&lt;66,"51-65",C518&gt;=66,"Above 65")</f>
        <v>51-65</v>
      </c>
      <c r="O518" s="6"/>
    </row>
    <row r="519" spans="1:15" x14ac:dyDescent="0.35">
      <c r="A519" t="s">
        <v>997</v>
      </c>
      <c r="B519" t="s">
        <v>998</v>
      </c>
      <c r="C519">
        <v>25</v>
      </c>
      <c r="D519" t="s">
        <v>12</v>
      </c>
      <c r="E519" s="5">
        <v>45768</v>
      </c>
      <c r="F519" s="5">
        <v>45771</v>
      </c>
      <c r="G519">
        <f t="shared" si="16"/>
        <v>3</v>
      </c>
      <c r="H519" t="s">
        <v>23</v>
      </c>
      <c r="I519" t="s">
        <v>333</v>
      </c>
      <c r="J519" s="2">
        <v>5735.73</v>
      </c>
      <c r="K519" s="6">
        <v>0.8</v>
      </c>
      <c r="L519" t="s">
        <v>20</v>
      </c>
      <c r="M519" s="3">
        <f t="shared" si="17"/>
        <v>0</v>
      </c>
      <c r="N519" s="9" t="str" cm="1">
        <f t="array" ref="N519">_xlfn.IFS(C519&lt;18,"Under 18",C519&lt;36,"18-35",C519&lt;51,"36-50",C519&lt;66,"51-65",C519&gt;=66,"Above 65")</f>
        <v>18-35</v>
      </c>
      <c r="O519" s="6"/>
    </row>
    <row r="520" spans="1:15" x14ac:dyDescent="0.35">
      <c r="A520" t="s">
        <v>999</v>
      </c>
      <c r="B520" t="s">
        <v>706</v>
      </c>
      <c r="C520">
        <v>38</v>
      </c>
      <c r="D520" t="s">
        <v>12</v>
      </c>
      <c r="E520" s="5">
        <v>45479</v>
      </c>
      <c r="F520" s="5">
        <v>45482</v>
      </c>
      <c r="G520">
        <f t="shared" si="16"/>
        <v>3</v>
      </c>
      <c r="H520" t="s">
        <v>31</v>
      </c>
      <c r="I520" t="s">
        <v>53</v>
      </c>
      <c r="J520" s="2">
        <v>4420.13</v>
      </c>
      <c r="K520" s="6">
        <v>0.9</v>
      </c>
      <c r="L520" t="s">
        <v>15</v>
      </c>
      <c r="M520" s="3">
        <f t="shared" si="17"/>
        <v>4420.13</v>
      </c>
      <c r="N520" s="9" t="str" cm="1">
        <f t="array" ref="N520">_xlfn.IFS(C520&lt;18,"Under 18",C520&lt;36,"18-35",C520&lt;51,"36-50",C520&lt;66,"51-65",C520&gt;=66,"Above 65")</f>
        <v>36-50</v>
      </c>
      <c r="O520" s="6"/>
    </row>
    <row r="521" spans="1:15" x14ac:dyDescent="0.35">
      <c r="A521" t="s">
        <v>1000</v>
      </c>
      <c r="B521" t="s">
        <v>1001</v>
      </c>
      <c r="C521">
        <v>56</v>
      </c>
      <c r="D521" t="s">
        <v>18</v>
      </c>
      <c r="E521" s="5">
        <v>45888</v>
      </c>
      <c r="F521" s="5">
        <v>45894</v>
      </c>
      <c r="G521">
        <f t="shared" si="16"/>
        <v>6</v>
      </c>
      <c r="H521" t="s">
        <v>31</v>
      </c>
      <c r="I521" t="s">
        <v>114</v>
      </c>
      <c r="J521" s="2">
        <v>4034.24</v>
      </c>
      <c r="K521" s="6">
        <v>0.9</v>
      </c>
      <c r="L521" t="s">
        <v>20</v>
      </c>
      <c r="M521" s="3">
        <f t="shared" si="17"/>
        <v>0</v>
      </c>
      <c r="N521" s="9" t="str" cm="1">
        <f t="array" ref="N521">_xlfn.IFS(C521&lt;18,"Under 18",C521&lt;36,"18-35",C521&lt;51,"36-50",C521&lt;66,"51-65",C521&gt;=66,"Above 65")</f>
        <v>51-65</v>
      </c>
      <c r="O521" s="6"/>
    </row>
    <row r="522" spans="1:15" x14ac:dyDescent="0.35">
      <c r="A522" t="s">
        <v>1002</v>
      </c>
      <c r="B522" t="s">
        <v>1003</v>
      </c>
      <c r="C522">
        <v>53</v>
      </c>
      <c r="D522" t="s">
        <v>12</v>
      </c>
      <c r="E522" s="5">
        <v>45681</v>
      </c>
      <c r="F522" s="5">
        <v>45692</v>
      </c>
      <c r="G522">
        <f t="shared" si="16"/>
        <v>11</v>
      </c>
      <c r="H522" t="s">
        <v>70</v>
      </c>
      <c r="I522" t="s">
        <v>71</v>
      </c>
      <c r="J522" s="2">
        <v>18224.23</v>
      </c>
      <c r="K522" s="6">
        <v>0.8</v>
      </c>
      <c r="L522" t="s">
        <v>15</v>
      </c>
      <c r="M522" s="3">
        <f t="shared" si="17"/>
        <v>18224.23</v>
      </c>
      <c r="N522" s="9" t="str" cm="1">
        <f t="array" ref="N522">_xlfn.IFS(C522&lt;18,"Under 18",C522&lt;36,"18-35",C522&lt;51,"36-50",C522&lt;66,"51-65",C522&gt;=66,"Above 65")</f>
        <v>51-65</v>
      </c>
      <c r="O522" s="6"/>
    </row>
    <row r="523" spans="1:15" x14ac:dyDescent="0.35">
      <c r="A523" t="s">
        <v>1004</v>
      </c>
      <c r="B523" t="s">
        <v>1005</v>
      </c>
      <c r="C523">
        <v>21</v>
      </c>
      <c r="D523" t="s">
        <v>12</v>
      </c>
      <c r="E523" s="5">
        <v>45495</v>
      </c>
      <c r="F523" s="5">
        <v>45502</v>
      </c>
      <c r="G523">
        <f t="shared" si="16"/>
        <v>7</v>
      </c>
      <c r="H523" t="s">
        <v>31</v>
      </c>
      <c r="I523" t="s">
        <v>114</v>
      </c>
      <c r="J523" s="2">
        <v>4562.96</v>
      </c>
      <c r="K523" s="6">
        <v>0.9</v>
      </c>
      <c r="L523" t="s">
        <v>15</v>
      </c>
      <c r="M523" s="3">
        <f t="shared" si="17"/>
        <v>4562.96</v>
      </c>
      <c r="N523" s="9" t="str" cm="1">
        <f t="array" ref="N523">_xlfn.IFS(C523&lt;18,"Under 18",C523&lt;36,"18-35",C523&lt;51,"36-50",C523&lt;66,"51-65",C523&gt;=66,"Above 65")</f>
        <v>18-35</v>
      </c>
      <c r="O523" s="6"/>
    </row>
    <row r="524" spans="1:15" x14ac:dyDescent="0.35">
      <c r="A524" t="s">
        <v>1006</v>
      </c>
      <c r="B524" t="s">
        <v>239</v>
      </c>
      <c r="C524">
        <v>1</v>
      </c>
      <c r="D524" t="s">
        <v>12</v>
      </c>
      <c r="E524" s="5">
        <v>45596</v>
      </c>
      <c r="F524" s="5">
        <v>45601</v>
      </c>
      <c r="G524">
        <f t="shared" si="16"/>
        <v>5</v>
      </c>
      <c r="H524" t="s">
        <v>49</v>
      </c>
      <c r="I524" t="s">
        <v>120</v>
      </c>
      <c r="J524" s="2">
        <v>7560.63</v>
      </c>
      <c r="K524" s="6">
        <v>0</v>
      </c>
      <c r="L524" t="s">
        <v>15</v>
      </c>
      <c r="M524" s="3">
        <f t="shared" si="17"/>
        <v>7560.63</v>
      </c>
      <c r="N524" s="9" t="str" cm="1">
        <f t="array" ref="N524">_xlfn.IFS(C524&lt;18,"Under 18",C524&lt;36,"18-35",C524&lt;51,"36-50",C524&lt;66,"51-65",C524&gt;=66,"Above 65")</f>
        <v>Under 18</v>
      </c>
      <c r="O524" s="6"/>
    </row>
    <row r="525" spans="1:15" x14ac:dyDescent="0.35">
      <c r="A525" t="s">
        <v>1007</v>
      </c>
      <c r="B525" t="s">
        <v>712</v>
      </c>
      <c r="C525">
        <v>21</v>
      </c>
      <c r="D525" t="s">
        <v>18</v>
      </c>
      <c r="E525" s="5">
        <v>45853</v>
      </c>
      <c r="F525" s="5">
        <v>45854</v>
      </c>
      <c r="G525">
        <f t="shared" si="16"/>
        <v>1</v>
      </c>
      <c r="H525" t="s">
        <v>31</v>
      </c>
      <c r="I525" t="s">
        <v>44</v>
      </c>
      <c r="J525" s="2">
        <v>605</v>
      </c>
      <c r="K525" s="6">
        <v>0.8</v>
      </c>
      <c r="L525" t="s">
        <v>15</v>
      </c>
      <c r="M525" s="3">
        <f t="shared" si="17"/>
        <v>605</v>
      </c>
      <c r="N525" s="9" t="str" cm="1">
        <f t="array" ref="N525">_xlfn.IFS(C525&lt;18,"Under 18",C525&lt;36,"18-35",C525&lt;51,"36-50",C525&lt;66,"51-65",C525&gt;=66,"Above 65")</f>
        <v>18-35</v>
      </c>
      <c r="O525" s="6"/>
    </row>
    <row r="526" spans="1:15" x14ac:dyDescent="0.35">
      <c r="A526" t="s">
        <v>1008</v>
      </c>
      <c r="B526" t="s">
        <v>1009</v>
      </c>
      <c r="C526">
        <v>77</v>
      </c>
      <c r="D526" t="s">
        <v>18</v>
      </c>
      <c r="E526" s="5">
        <v>45682</v>
      </c>
      <c r="F526" s="5">
        <v>45683</v>
      </c>
      <c r="G526">
        <f t="shared" si="16"/>
        <v>1</v>
      </c>
      <c r="H526" t="s">
        <v>23</v>
      </c>
      <c r="I526" t="s">
        <v>204</v>
      </c>
      <c r="J526" s="2">
        <v>899.35</v>
      </c>
      <c r="K526" s="6">
        <v>0.7</v>
      </c>
      <c r="L526" t="s">
        <v>20</v>
      </c>
      <c r="M526" s="3">
        <f t="shared" si="17"/>
        <v>0</v>
      </c>
      <c r="N526" s="9" t="str" cm="1">
        <f t="array" ref="N526">_xlfn.IFS(C526&lt;18,"Under 18",C526&lt;36,"18-35",C526&lt;51,"36-50",C526&lt;66,"51-65",C526&gt;=66,"Above 65")</f>
        <v>Above 65</v>
      </c>
      <c r="O526" s="6"/>
    </row>
    <row r="527" spans="1:15" x14ac:dyDescent="0.35">
      <c r="A527" t="s">
        <v>1010</v>
      </c>
      <c r="B527" t="s">
        <v>1011</v>
      </c>
      <c r="C527">
        <v>54</v>
      </c>
      <c r="D527" t="s">
        <v>12</v>
      </c>
      <c r="E527" s="5">
        <v>45350</v>
      </c>
      <c r="F527" s="5">
        <v>45355</v>
      </c>
      <c r="G527">
        <f t="shared" si="16"/>
        <v>5</v>
      </c>
      <c r="H527" t="s">
        <v>13</v>
      </c>
      <c r="I527" t="s">
        <v>14</v>
      </c>
      <c r="J527" s="2">
        <v>13642.77</v>
      </c>
      <c r="K527" s="6">
        <v>0.8</v>
      </c>
      <c r="L527" t="s">
        <v>25</v>
      </c>
      <c r="M527" s="3">
        <f t="shared" si="17"/>
        <v>0</v>
      </c>
      <c r="N527" s="9" t="str" cm="1">
        <f t="array" ref="N527">_xlfn.IFS(C527&lt;18,"Under 18",C527&lt;36,"18-35",C527&lt;51,"36-50",C527&lt;66,"51-65",C527&gt;=66,"Above 65")</f>
        <v>51-65</v>
      </c>
      <c r="O527" s="6"/>
    </row>
    <row r="528" spans="1:15" x14ac:dyDescent="0.35">
      <c r="A528" t="s">
        <v>1012</v>
      </c>
      <c r="B528" t="s">
        <v>478</v>
      </c>
      <c r="C528">
        <v>49</v>
      </c>
      <c r="D528" t="s">
        <v>18</v>
      </c>
      <c r="E528" s="5">
        <v>45543</v>
      </c>
      <c r="F528" s="5">
        <v>45544</v>
      </c>
      <c r="G528">
        <f t="shared" si="16"/>
        <v>1</v>
      </c>
      <c r="H528" t="s">
        <v>31</v>
      </c>
      <c r="I528" t="s">
        <v>87</v>
      </c>
      <c r="J528" s="2">
        <v>1419.55</v>
      </c>
      <c r="K528" s="6">
        <v>0.9</v>
      </c>
      <c r="L528" t="s">
        <v>25</v>
      </c>
      <c r="M528" s="3">
        <f t="shared" si="17"/>
        <v>0</v>
      </c>
      <c r="N528" s="9" t="str" cm="1">
        <f t="array" ref="N528">_xlfn.IFS(C528&lt;18,"Under 18",C528&lt;36,"18-35",C528&lt;51,"36-50",C528&lt;66,"51-65",C528&gt;=66,"Above 65")</f>
        <v>36-50</v>
      </c>
      <c r="O528" s="6"/>
    </row>
    <row r="529" spans="1:15" x14ac:dyDescent="0.35">
      <c r="A529" t="s">
        <v>1013</v>
      </c>
      <c r="B529" t="s">
        <v>1014</v>
      </c>
      <c r="C529">
        <v>74</v>
      </c>
      <c r="D529" t="s">
        <v>12</v>
      </c>
      <c r="E529" s="5">
        <v>45908</v>
      </c>
      <c r="F529" s="5">
        <v>45913</v>
      </c>
      <c r="G529">
        <f t="shared" si="16"/>
        <v>5</v>
      </c>
      <c r="H529" t="s">
        <v>31</v>
      </c>
      <c r="I529" t="s">
        <v>32</v>
      </c>
      <c r="J529" s="2">
        <v>4915.01</v>
      </c>
      <c r="K529" s="6">
        <v>0.9</v>
      </c>
      <c r="L529" t="s">
        <v>15</v>
      </c>
      <c r="M529" s="3">
        <f t="shared" si="17"/>
        <v>4915.01</v>
      </c>
      <c r="N529" s="9" t="str" cm="1">
        <f t="array" ref="N529">_xlfn.IFS(C529&lt;18,"Under 18",C529&lt;36,"18-35",C529&lt;51,"36-50",C529&lt;66,"51-65",C529&gt;=66,"Above 65")</f>
        <v>Above 65</v>
      </c>
      <c r="O529" s="6"/>
    </row>
    <row r="530" spans="1:15" x14ac:dyDescent="0.35">
      <c r="A530" t="s">
        <v>1015</v>
      </c>
      <c r="B530" t="s">
        <v>1016</v>
      </c>
      <c r="C530">
        <v>24</v>
      </c>
      <c r="D530" t="s">
        <v>18</v>
      </c>
      <c r="E530" s="5">
        <v>45451</v>
      </c>
      <c r="F530" s="5">
        <v>45452</v>
      </c>
      <c r="G530">
        <f t="shared" si="16"/>
        <v>1</v>
      </c>
      <c r="H530" t="s">
        <v>31</v>
      </c>
      <c r="I530" t="s">
        <v>114</v>
      </c>
      <c r="J530" s="2">
        <v>879.73</v>
      </c>
      <c r="K530" s="6">
        <v>0.8</v>
      </c>
      <c r="L530" t="s">
        <v>15</v>
      </c>
      <c r="M530" s="3">
        <f t="shared" si="17"/>
        <v>879.73</v>
      </c>
      <c r="N530" s="9" t="str" cm="1">
        <f t="array" ref="N530">_xlfn.IFS(C530&lt;18,"Under 18",C530&lt;36,"18-35",C530&lt;51,"36-50",C530&lt;66,"51-65",C530&gt;=66,"Above 65")</f>
        <v>18-35</v>
      </c>
      <c r="O530" s="6"/>
    </row>
    <row r="531" spans="1:15" x14ac:dyDescent="0.35">
      <c r="A531" t="s">
        <v>1017</v>
      </c>
      <c r="B531" t="s">
        <v>1018</v>
      </c>
      <c r="C531">
        <v>78</v>
      </c>
      <c r="D531" t="s">
        <v>18</v>
      </c>
      <c r="E531" s="5">
        <v>45496</v>
      </c>
      <c r="F531" s="5">
        <v>45499</v>
      </c>
      <c r="G531">
        <f t="shared" si="16"/>
        <v>3</v>
      </c>
      <c r="H531" t="s">
        <v>23</v>
      </c>
      <c r="I531" t="s">
        <v>28</v>
      </c>
      <c r="J531" s="2">
        <v>4924.09</v>
      </c>
      <c r="K531" s="6">
        <v>0.7</v>
      </c>
      <c r="L531" t="s">
        <v>15</v>
      </c>
      <c r="M531" s="3">
        <f t="shared" si="17"/>
        <v>4924.09</v>
      </c>
      <c r="N531" s="9" t="str" cm="1">
        <f t="array" ref="N531">_xlfn.IFS(C531&lt;18,"Under 18",C531&lt;36,"18-35",C531&lt;51,"36-50",C531&lt;66,"51-65",C531&gt;=66,"Above 65")</f>
        <v>Above 65</v>
      </c>
      <c r="O531" s="6"/>
    </row>
    <row r="532" spans="1:15" x14ac:dyDescent="0.35">
      <c r="A532" t="s">
        <v>1019</v>
      </c>
      <c r="B532" t="s">
        <v>746</v>
      </c>
      <c r="C532">
        <v>34</v>
      </c>
      <c r="D532" t="s">
        <v>12</v>
      </c>
      <c r="E532" s="5">
        <v>45963</v>
      </c>
      <c r="F532" s="5">
        <v>45973</v>
      </c>
      <c r="G532">
        <f t="shared" si="16"/>
        <v>10</v>
      </c>
      <c r="H532" t="s">
        <v>60</v>
      </c>
      <c r="I532" t="s">
        <v>61</v>
      </c>
      <c r="J532" s="2">
        <v>13077.22</v>
      </c>
      <c r="K532" s="6">
        <v>0.6</v>
      </c>
      <c r="L532" t="s">
        <v>25</v>
      </c>
      <c r="M532" s="3">
        <f t="shared" si="17"/>
        <v>0</v>
      </c>
      <c r="N532" s="9" t="str" cm="1">
        <f t="array" ref="N532">_xlfn.IFS(C532&lt;18,"Under 18",C532&lt;36,"18-35",C532&lt;51,"36-50",C532&lt;66,"51-65",C532&gt;=66,"Above 65")</f>
        <v>18-35</v>
      </c>
      <c r="O532" s="6"/>
    </row>
    <row r="533" spans="1:15" x14ac:dyDescent="0.35">
      <c r="A533" t="s">
        <v>1020</v>
      </c>
      <c r="B533" t="s">
        <v>490</v>
      </c>
      <c r="C533">
        <v>45</v>
      </c>
      <c r="D533" t="s">
        <v>12</v>
      </c>
      <c r="E533" s="5">
        <v>45941</v>
      </c>
      <c r="F533" s="5">
        <v>45948</v>
      </c>
      <c r="G533">
        <f t="shared" si="16"/>
        <v>7</v>
      </c>
      <c r="H533" t="s">
        <v>31</v>
      </c>
      <c r="I533" t="s">
        <v>44</v>
      </c>
      <c r="J533" s="2">
        <v>5438.75</v>
      </c>
      <c r="K533" s="6">
        <v>0.8</v>
      </c>
      <c r="L533" t="s">
        <v>15</v>
      </c>
      <c r="M533" s="3">
        <f t="shared" si="17"/>
        <v>5438.75</v>
      </c>
      <c r="N533" s="9" t="str" cm="1">
        <f t="array" ref="N533">_xlfn.IFS(C533&lt;18,"Under 18",C533&lt;36,"18-35",C533&lt;51,"36-50",C533&lt;66,"51-65",C533&gt;=66,"Above 65")</f>
        <v>36-50</v>
      </c>
      <c r="O533" s="6"/>
    </row>
    <row r="534" spans="1:15" x14ac:dyDescent="0.35">
      <c r="A534" t="s">
        <v>1021</v>
      </c>
      <c r="B534" t="s">
        <v>1022</v>
      </c>
      <c r="C534">
        <v>59</v>
      </c>
      <c r="D534" t="s">
        <v>18</v>
      </c>
      <c r="E534" s="5">
        <v>45592</v>
      </c>
      <c r="F534" s="5">
        <v>45600</v>
      </c>
      <c r="G534">
        <f t="shared" si="16"/>
        <v>8</v>
      </c>
      <c r="H534" t="s">
        <v>13</v>
      </c>
      <c r="I534" t="s">
        <v>19</v>
      </c>
      <c r="J534" s="2">
        <v>23659.1</v>
      </c>
      <c r="K534" s="6">
        <v>0.9</v>
      </c>
      <c r="L534" t="s">
        <v>20</v>
      </c>
      <c r="M534" s="3">
        <f t="shared" si="17"/>
        <v>0</v>
      </c>
      <c r="N534" s="9" t="str" cm="1">
        <f t="array" ref="N534">_xlfn.IFS(C534&lt;18,"Under 18",C534&lt;36,"18-35",C534&lt;51,"36-50",C534&lt;66,"51-65",C534&gt;=66,"Above 65")</f>
        <v>51-65</v>
      </c>
      <c r="O534" s="6"/>
    </row>
    <row r="535" spans="1:15" x14ac:dyDescent="0.35">
      <c r="A535" t="s">
        <v>1023</v>
      </c>
      <c r="B535" t="s">
        <v>1024</v>
      </c>
      <c r="C535">
        <v>80</v>
      </c>
      <c r="D535" t="s">
        <v>12</v>
      </c>
      <c r="E535" s="5">
        <v>45490</v>
      </c>
      <c r="F535" s="5">
        <v>45495</v>
      </c>
      <c r="G535">
        <f t="shared" si="16"/>
        <v>5</v>
      </c>
      <c r="H535" t="s">
        <v>13</v>
      </c>
      <c r="I535" t="s">
        <v>165</v>
      </c>
      <c r="J535" s="2">
        <v>10323.56</v>
      </c>
      <c r="K535" s="6">
        <v>0.7</v>
      </c>
      <c r="L535" t="s">
        <v>15</v>
      </c>
      <c r="M535" s="3">
        <f t="shared" si="17"/>
        <v>10323.56</v>
      </c>
      <c r="N535" s="9" t="str" cm="1">
        <f t="array" ref="N535">_xlfn.IFS(C535&lt;18,"Under 18",C535&lt;36,"18-35",C535&lt;51,"36-50",C535&lt;66,"51-65",C535&gt;=66,"Above 65")</f>
        <v>Above 65</v>
      </c>
      <c r="O535" s="6"/>
    </row>
    <row r="536" spans="1:15" x14ac:dyDescent="0.35">
      <c r="A536" t="s">
        <v>1025</v>
      </c>
      <c r="B536" t="s">
        <v>1026</v>
      </c>
      <c r="C536">
        <v>53</v>
      </c>
      <c r="D536" t="s">
        <v>12</v>
      </c>
      <c r="E536" s="5">
        <v>45643</v>
      </c>
      <c r="F536" s="5">
        <v>45652</v>
      </c>
      <c r="G536">
        <f t="shared" si="16"/>
        <v>9</v>
      </c>
      <c r="H536" t="s">
        <v>60</v>
      </c>
      <c r="I536" t="s">
        <v>142</v>
      </c>
      <c r="J536" s="2">
        <v>23629.360000000001</v>
      </c>
      <c r="K536" s="6">
        <v>0.9</v>
      </c>
      <c r="L536" t="s">
        <v>15</v>
      </c>
      <c r="M536" s="3">
        <f t="shared" si="17"/>
        <v>23629.360000000001</v>
      </c>
      <c r="N536" s="9" t="str" cm="1">
        <f t="array" ref="N536">_xlfn.IFS(C536&lt;18,"Under 18",C536&lt;36,"18-35",C536&lt;51,"36-50",C536&lt;66,"51-65",C536&gt;=66,"Above 65")</f>
        <v>51-65</v>
      </c>
      <c r="O536" s="6"/>
    </row>
    <row r="537" spans="1:15" x14ac:dyDescent="0.35">
      <c r="A537" t="s">
        <v>1027</v>
      </c>
      <c r="B537" t="s">
        <v>1028</v>
      </c>
      <c r="C537">
        <v>65</v>
      </c>
      <c r="D537" t="s">
        <v>12</v>
      </c>
      <c r="E537" s="5">
        <v>45359</v>
      </c>
      <c r="F537" s="5">
        <v>45365</v>
      </c>
      <c r="G537">
        <f t="shared" si="16"/>
        <v>6</v>
      </c>
      <c r="H537" t="s">
        <v>31</v>
      </c>
      <c r="I537" t="s">
        <v>114</v>
      </c>
      <c r="J537" s="2">
        <v>7474.49</v>
      </c>
      <c r="K537" s="6">
        <v>0.7</v>
      </c>
      <c r="L537" t="s">
        <v>15</v>
      </c>
      <c r="M537" s="3">
        <f t="shared" si="17"/>
        <v>7474.49</v>
      </c>
      <c r="N537" s="9" t="str" cm="1">
        <f t="array" ref="N537">_xlfn.IFS(C537&lt;18,"Under 18",C537&lt;36,"18-35",C537&lt;51,"36-50",C537&lt;66,"51-65",C537&gt;=66,"Above 65")</f>
        <v>51-65</v>
      </c>
      <c r="O537" s="6"/>
    </row>
    <row r="538" spans="1:15" x14ac:dyDescent="0.35">
      <c r="A538" t="s">
        <v>1029</v>
      </c>
      <c r="B538" t="s">
        <v>1030</v>
      </c>
      <c r="C538">
        <v>46</v>
      </c>
      <c r="D538" t="s">
        <v>18</v>
      </c>
      <c r="E538" s="5">
        <v>45804</v>
      </c>
      <c r="F538" s="5">
        <v>45807</v>
      </c>
      <c r="G538">
        <f t="shared" si="16"/>
        <v>3</v>
      </c>
      <c r="H538" t="s">
        <v>23</v>
      </c>
      <c r="I538" t="s">
        <v>221</v>
      </c>
      <c r="J538" s="2">
        <v>6062.52</v>
      </c>
      <c r="K538" s="6">
        <v>0.9</v>
      </c>
      <c r="L538" t="s">
        <v>15</v>
      </c>
      <c r="M538" s="3">
        <f t="shared" si="17"/>
        <v>6062.52</v>
      </c>
      <c r="N538" s="9" t="str" cm="1">
        <f t="array" ref="N538">_xlfn.IFS(C538&lt;18,"Under 18",C538&lt;36,"18-35",C538&lt;51,"36-50",C538&lt;66,"51-65",C538&gt;=66,"Above 65")</f>
        <v>36-50</v>
      </c>
      <c r="O538" s="6"/>
    </row>
    <row r="539" spans="1:15" x14ac:dyDescent="0.35">
      <c r="A539" t="s">
        <v>1031</v>
      </c>
      <c r="B539" t="s">
        <v>1032</v>
      </c>
      <c r="C539">
        <v>19</v>
      </c>
      <c r="D539" t="s">
        <v>18</v>
      </c>
      <c r="E539" s="5">
        <v>45472</v>
      </c>
      <c r="F539" s="5">
        <v>45474</v>
      </c>
      <c r="G539">
        <f t="shared" si="16"/>
        <v>2</v>
      </c>
      <c r="H539" t="s">
        <v>23</v>
      </c>
      <c r="I539" t="s">
        <v>82</v>
      </c>
      <c r="J539" s="2">
        <v>4748.93</v>
      </c>
      <c r="K539" s="6">
        <v>0</v>
      </c>
      <c r="L539" t="s">
        <v>15</v>
      </c>
      <c r="M539" s="3">
        <f t="shared" si="17"/>
        <v>4748.93</v>
      </c>
      <c r="N539" s="9" t="str" cm="1">
        <f t="array" ref="N539">_xlfn.IFS(C539&lt;18,"Under 18",C539&lt;36,"18-35",C539&lt;51,"36-50",C539&lt;66,"51-65",C539&gt;=66,"Above 65")</f>
        <v>18-35</v>
      </c>
      <c r="O539" s="6"/>
    </row>
    <row r="540" spans="1:15" x14ac:dyDescent="0.35">
      <c r="A540" t="s">
        <v>1033</v>
      </c>
      <c r="B540" t="s">
        <v>1034</v>
      </c>
      <c r="C540">
        <v>12</v>
      </c>
      <c r="D540" t="s">
        <v>12</v>
      </c>
      <c r="E540" s="5">
        <v>45787</v>
      </c>
      <c r="F540" s="5">
        <v>45791</v>
      </c>
      <c r="G540">
        <f t="shared" si="16"/>
        <v>4</v>
      </c>
      <c r="H540" t="s">
        <v>49</v>
      </c>
      <c r="I540" t="s">
        <v>117</v>
      </c>
      <c r="J540" s="2">
        <v>5993.64</v>
      </c>
      <c r="K540" s="6">
        <v>0</v>
      </c>
      <c r="L540" t="s">
        <v>25</v>
      </c>
      <c r="M540" s="3">
        <f t="shared" si="17"/>
        <v>0</v>
      </c>
      <c r="N540" s="9" t="str" cm="1">
        <f t="array" ref="N540">_xlfn.IFS(C540&lt;18,"Under 18",C540&lt;36,"18-35",C540&lt;51,"36-50",C540&lt;66,"51-65",C540&gt;=66,"Above 65")</f>
        <v>Under 18</v>
      </c>
      <c r="O540" s="6"/>
    </row>
    <row r="541" spans="1:15" x14ac:dyDescent="0.35">
      <c r="A541" t="s">
        <v>1035</v>
      </c>
      <c r="B541" t="s">
        <v>1036</v>
      </c>
      <c r="C541">
        <v>49</v>
      </c>
      <c r="D541" t="s">
        <v>12</v>
      </c>
      <c r="E541" s="5">
        <v>45981</v>
      </c>
      <c r="F541" s="5">
        <v>45983</v>
      </c>
      <c r="G541">
        <f t="shared" si="16"/>
        <v>2</v>
      </c>
      <c r="H541" t="s">
        <v>31</v>
      </c>
      <c r="I541" t="s">
        <v>44</v>
      </c>
      <c r="J541" s="2">
        <v>1129.2</v>
      </c>
      <c r="K541" s="6">
        <v>0.8</v>
      </c>
      <c r="L541" t="s">
        <v>15</v>
      </c>
      <c r="M541" s="3">
        <f t="shared" si="17"/>
        <v>1129.2</v>
      </c>
      <c r="N541" s="9" t="str" cm="1">
        <f t="array" ref="N541">_xlfn.IFS(C541&lt;18,"Under 18",C541&lt;36,"18-35",C541&lt;51,"36-50",C541&lt;66,"51-65",C541&gt;=66,"Above 65")</f>
        <v>36-50</v>
      </c>
      <c r="O541" s="6"/>
    </row>
    <row r="542" spans="1:15" x14ac:dyDescent="0.35">
      <c r="A542" t="s">
        <v>1037</v>
      </c>
      <c r="B542" t="s">
        <v>626</v>
      </c>
      <c r="C542">
        <v>47</v>
      </c>
      <c r="D542" t="s">
        <v>18</v>
      </c>
      <c r="E542" s="5">
        <v>45417</v>
      </c>
      <c r="F542" s="5">
        <v>45420</v>
      </c>
      <c r="G542">
        <f t="shared" si="16"/>
        <v>3</v>
      </c>
      <c r="H542" t="s">
        <v>23</v>
      </c>
      <c r="I542" t="s">
        <v>204</v>
      </c>
      <c r="J542" s="2">
        <v>2925.89</v>
      </c>
      <c r="K542" s="6">
        <v>0.6</v>
      </c>
      <c r="L542" t="s">
        <v>25</v>
      </c>
      <c r="M542" s="3">
        <f t="shared" si="17"/>
        <v>0</v>
      </c>
      <c r="N542" s="9" t="str" cm="1">
        <f t="array" ref="N542">_xlfn.IFS(C542&lt;18,"Under 18",C542&lt;36,"18-35",C542&lt;51,"36-50",C542&lt;66,"51-65",C542&gt;=66,"Above 65")</f>
        <v>36-50</v>
      </c>
      <c r="O542" s="6"/>
    </row>
    <row r="543" spans="1:15" x14ac:dyDescent="0.35">
      <c r="A543" t="s">
        <v>1038</v>
      </c>
      <c r="B543" t="s">
        <v>587</v>
      </c>
      <c r="C543">
        <v>60</v>
      </c>
      <c r="D543" t="s">
        <v>18</v>
      </c>
      <c r="E543" s="5">
        <v>45565</v>
      </c>
      <c r="F543" s="5">
        <v>45567</v>
      </c>
      <c r="G543">
        <f t="shared" si="16"/>
        <v>2</v>
      </c>
      <c r="H543" t="s">
        <v>23</v>
      </c>
      <c r="I543" t="s">
        <v>204</v>
      </c>
      <c r="J543" s="2">
        <v>3791.25</v>
      </c>
      <c r="K543" s="6">
        <v>0.6</v>
      </c>
      <c r="L543" t="s">
        <v>20</v>
      </c>
      <c r="M543" s="3">
        <f t="shared" si="17"/>
        <v>0</v>
      </c>
      <c r="N543" s="9" t="str" cm="1">
        <f t="array" ref="N543">_xlfn.IFS(C543&lt;18,"Under 18",C543&lt;36,"18-35",C543&lt;51,"36-50",C543&lt;66,"51-65",C543&gt;=66,"Above 65")</f>
        <v>51-65</v>
      </c>
      <c r="O543" s="6"/>
    </row>
    <row r="544" spans="1:15" x14ac:dyDescent="0.35">
      <c r="A544" t="s">
        <v>1039</v>
      </c>
      <c r="B544" t="s">
        <v>1040</v>
      </c>
      <c r="C544">
        <v>39</v>
      </c>
      <c r="D544" t="s">
        <v>18</v>
      </c>
      <c r="E544" s="5">
        <v>45466</v>
      </c>
      <c r="F544" s="5">
        <v>45473</v>
      </c>
      <c r="G544">
        <f t="shared" si="16"/>
        <v>7</v>
      </c>
      <c r="H544" t="s">
        <v>60</v>
      </c>
      <c r="I544" t="s">
        <v>142</v>
      </c>
      <c r="J544" s="2">
        <v>17536.5</v>
      </c>
      <c r="K544" s="6">
        <v>0.9</v>
      </c>
      <c r="L544" t="s">
        <v>15</v>
      </c>
      <c r="M544" s="3">
        <f t="shared" si="17"/>
        <v>17536.5</v>
      </c>
      <c r="N544" s="9" t="str" cm="1">
        <f t="array" ref="N544">_xlfn.IFS(C544&lt;18,"Under 18",C544&lt;36,"18-35",C544&lt;51,"36-50",C544&lt;66,"51-65",C544&gt;=66,"Above 65")</f>
        <v>36-50</v>
      </c>
      <c r="O544" s="6"/>
    </row>
    <row r="545" spans="1:15" x14ac:dyDescent="0.35">
      <c r="A545" t="s">
        <v>1041</v>
      </c>
      <c r="B545" t="s">
        <v>300</v>
      </c>
      <c r="C545">
        <v>35</v>
      </c>
      <c r="D545" t="s">
        <v>18</v>
      </c>
      <c r="E545" s="5">
        <v>45687</v>
      </c>
      <c r="F545" s="5">
        <v>45691</v>
      </c>
      <c r="G545">
        <f t="shared" si="16"/>
        <v>4</v>
      </c>
      <c r="H545" t="s">
        <v>31</v>
      </c>
      <c r="I545" t="s">
        <v>32</v>
      </c>
      <c r="J545" s="2">
        <v>2285.7199999999998</v>
      </c>
      <c r="K545" s="6">
        <v>0.9</v>
      </c>
      <c r="L545" t="s">
        <v>15</v>
      </c>
      <c r="M545" s="3">
        <f t="shared" si="17"/>
        <v>2285.7199999999998</v>
      </c>
      <c r="N545" s="9" t="str" cm="1">
        <f t="array" ref="N545">_xlfn.IFS(C545&lt;18,"Under 18",C545&lt;36,"18-35",C545&lt;51,"36-50",C545&lt;66,"51-65",C545&gt;=66,"Above 65")</f>
        <v>18-35</v>
      </c>
      <c r="O545" s="6"/>
    </row>
    <row r="546" spans="1:15" x14ac:dyDescent="0.35">
      <c r="A546" t="s">
        <v>1042</v>
      </c>
      <c r="B546" t="s">
        <v>1043</v>
      </c>
      <c r="C546">
        <v>37</v>
      </c>
      <c r="D546" t="s">
        <v>18</v>
      </c>
      <c r="E546" s="5">
        <v>45304</v>
      </c>
      <c r="F546" s="5">
        <v>45313</v>
      </c>
      <c r="G546">
        <f t="shared" si="16"/>
        <v>9</v>
      </c>
      <c r="H546" t="s">
        <v>60</v>
      </c>
      <c r="I546" t="s">
        <v>97</v>
      </c>
      <c r="J546" s="2">
        <v>11741.84</v>
      </c>
      <c r="K546" s="6">
        <v>0.8</v>
      </c>
      <c r="L546" t="s">
        <v>15</v>
      </c>
      <c r="M546" s="3">
        <f t="shared" si="17"/>
        <v>11741.84</v>
      </c>
      <c r="N546" s="9" t="str" cm="1">
        <f t="array" ref="N546">_xlfn.IFS(C546&lt;18,"Under 18",C546&lt;36,"18-35",C546&lt;51,"36-50",C546&lt;66,"51-65",C546&gt;=66,"Above 65")</f>
        <v>36-50</v>
      </c>
      <c r="O546" s="6"/>
    </row>
    <row r="547" spans="1:15" x14ac:dyDescent="0.35">
      <c r="A547" t="s">
        <v>1044</v>
      </c>
      <c r="B547" t="s">
        <v>1045</v>
      </c>
      <c r="C547">
        <v>51</v>
      </c>
      <c r="D547" t="s">
        <v>18</v>
      </c>
      <c r="E547" s="5">
        <v>45943</v>
      </c>
      <c r="F547" s="5">
        <v>45951</v>
      </c>
      <c r="G547">
        <f t="shared" si="16"/>
        <v>8</v>
      </c>
      <c r="H547" t="s">
        <v>13</v>
      </c>
      <c r="I547" t="s">
        <v>38</v>
      </c>
      <c r="J547" s="2">
        <v>17157.7</v>
      </c>
      <c r="K547" s="6">
        <v>0.8</v>
      </c>
      <c r="L547" t="s">
        <v>20</v>
      </c>
      <c r="M547" s="3">
        <f t="shared" si="17"/>
        <v>0</v>
      </c>
      <c r="N547" s="9" t="str" cm="1">
        <f t="array" ref="N547">_xlfn.IFS(C547&lt;18,"Under 18",C547&lt;36,"18-35",C547&lt;51,"36-50",C547&lt;66,"51-65",C547&gt;=66,"Above 65")</f>
        <v>51-65</v>
      </c>
      <c r="O547" s="6"/>
    </row>
    <row r="548" spans="1:15" x14ac:dyDescent="0.35">
      <c r="A548" t="s">
        <v>1046</v>
      </c>
      <c r="B548" t="s">
        <v>1047</v>
      </c>
      <c r="C548">
        <v>69</v>
      </c>
      <c r="D548" t="s">
        <v>18</v>
      </c>
      <c r="E548" s="5">
        <v>45793</v>
      </c>
      <c r="F548" s="5">
        <v>45794</v>
      </c>
      <c r="G548">
        <f t="shared" si="16"/>
        <v>1</v>
      </c>
      <c r="H548" t="s">
        <v>31</v>
      </c>
      <c r="I548" t="s">
        <v>234</v>
      </c>
      <c r="J548" s="2">
        <v>1202.17</v>
      </c>
      <c r="K548" s="6">
        <v>0</v>
      </c>
      <c r="L548" t="s">
        <v>25</v>
      </c>
      <c r="M548" s="3">
        <f t="shared" si="17"/>
        <v>0</v>
      </c>
      <c r="N548" s="9" t="str" cm="1">
        <f t="array" ref="N548">_xlfn.IFS(C548&lt;18,"Under 18",C548&lt;36,"18-35",C548&lt;51,"36-50",C548&lt;66,"51-65",C548&gt;=66,"Above 65")</f>
        <v>Above 65</v>
      </c>
      <c r="O548" s="6"/>
    </row>
    <row r="549" spans="1:15" x14ac:dyDescent="0.35">
      <c r="A549" t="s">
        <v>1048</v>
      </c>
      <c r="B549" t="s">
        <v>1049</v>
      </c>
      <c r="C549">
        <v>10</v>
      </c>
      <c r="D549" t="s">
        <v>12</v>
      </c>
      <c r="E549" s="5">
        <v>45802</v>
      </c>
      <c r="F549" s="5">
        <v>45803</v>
      </c>
      <c r="G549">
        <f t="shared" si="16"/>
        <v>1</v>
      </c>
      <c r="H549" t="s">
        <v>49</v>
      </c>
      <c r="I549" t="s">
        <v>50</v>
      </c>
      <c r="J549" s="2">
        <v>963.75</v>
      </c>
      <c r="K549" s="6">
        <v>1</v>
      </c>
      <c r="L549" t="s">
        <v>15</v>
      </c>
      <c r="M549" s="3">
        <f t="shared" si="17"/>
        <v>963.75</v>
      </c>
      <c r="N549" s="9" t="str" cm="1">
        <f t="array" ref="N549">_xlfn.IFS(C549&lt;18,"Under 18",C549&lt;36,"18-35",C549&lt;51,"36-50",C549&lt;66,"51-65",C549&gt;=66,"Above 65")</f>
        <v>Under 18</v>
      </c>
      <c r="O549" s="6"/>
    </row>
    <row r="550" spans="1:15" x14ac:dyDescent="0.35">
      <c r="A550" t="s">
        <v>1050</v>
      </c>
      <c r="B550" t="s">
        <v>1051</v>
      </c>
      <c r="C550">
        <v>5</v>
      </c>
      <c r="D550" t="s">
        <v>12</v>
      </c>
      <c r="E550" s="5">
        <v>45841</v>
      </c>
      <c r="F550" s="5">
        <v>45842</v>
      </c>
      <c r="G550">
        <f t="shared" si="16"/>
        <v>1</v>
      </c>
      <c r="H550" t="s">
        <v>49</v>
      </c>
      <c r="I550" t="s">
        <v>50</v>
      </c>
      <c r="J550" s="2">
        <v>634.45000000000005</v>
      </c>
      <c r="K550" s="6">
        <v>0.8</v>
      </c>
      <c r="L550" t="s">
        <v>15</v>
      </c>
      <c r="M550" s="3">
        <f t="shared" si="17"/>
        <v>634.45000000000005</v>
      </c>
      <c r="N550" s="9" t="str" cm="1">
        <f t="array" ref="N550">_xlfn.IFS(C550&lt;18,"Under 18",C550&lt;36,"18-35",C550&lt;51,"36-50",C550&lt;66,"51-65",C550&gt;=66,"Above 65")</f>
        <v>Under 18</v>
      </c>
      <c r="O550" s="6"/>
    </row>
    <row r="551" spans="1:15" x14ac:dyDescent="0.35">
      <c r="A551" t="s">
        <v>1052</v>
      </c>
      <c r="B551" t="s">
        <v>606</v>
      </c>
      <c r="C551">
        <v>67</v>
      </c>
      <c r="D551" t="s">
        <v>12</v>
      </c>
      <c r="E551" s="5">
        <v>45827</v>
      </c>
      <c r="F551" s="5">
        <v>45839</v>
      </c>
      <c r="G551">
        <f t="shared" si="16"/>
        <v>12</v>
      </c>
      <c r="H551" t="s">
        <v>60</v>
      </c>
      <c r="I551" t="s">
        <v>97</v>
      </c>
      <c r="J551" s="2">
        <v>15003.09</v>
      </c>
      <c r="K551" s="6">
        <v>0.6</v>
      </c>
      <c r="L551" t="s">
        <v>20</v>
      </c>
      <c r="M551" s="3">
        <f t="shared" si="17"/>
        <v>0</v>
      </c>
      <c r="N551" s="9" t="str" cm="1">
        <f t="array" ref="N551">_xlfn.IFS(C551&lt;18,"Under 18",C551&lt;36,"18-35",C551&lt;51,"36-50",C551&lt;66,"51-65",C551&gt;=66,"Above 65")</f>
        <v>Above 65</v>
      </c>
      <c r="O551" s="6"/>
    </row>
    <row r="552" spans="1:15" x14ac:dyDescent="0.35">
      <c r="A552" t="s">
        <v>1053</v>
      </c>
      <c r="B552" t="s">
        <v>1054</v>
      </c>
      <c r="C552">
        <v>33</v>
      </c>
      <c r="D552" t="s">
        <v>18</v>
      </c>
      <c r="E552" s="5">
        <v>45520</v>
      </c>
      <c r="F552" s="5">
        <v>45522</v>
      </c>
      <c r="G552">
        <f t="shared" si="16"/>
        <v>2</v>
      </c>
      <c r="H552" t="s">
        <v>23</v>
      </c>
      <c r="I552" t="s">
        <v>41</v>
      </c>
      <c r="J552" s="2">
        <v>1936.8</v>
      </c>
      <c r="K552" s="6">
        <v>0.8</v>
      </c>
      <c r="L552" t="s">
        <v>15</v>
      </c>
      <c r="M552" s="3">
        <f t="shared" si="17"/>
        <v>1936.8</v>
      </c>
      <c r="N552" s="9" t="str" cm="1">
        <f t="array" ref="N552">_xlfn.IFS(C552&lt;18,"Under 18",C552&lt;36,"18-35",C552&lt;51,"36-50",C552&lt;66,"51-65",C552&gt;=66,"Above 65")</f>
        <v>18-35</v>
      </c>
      <c r="O552" s="6"/>
    </row>
    <row r="553" spans="1:15" x14ac:dyDescent="0.35">
      <c r="A553" t="s">
        <v>1055</v>
      </c>
      <c r="B553" t="s">
        <v>1032</v>
      </c>
      <c r="C553">
        <v>37</v>
      </c>
      <c r="D553" t="s">
        <v>18</v>
      </c>
      <c r="E553" s="5">
        <v>45736</v>
      </c>
      <c r="F553" s="5">
        <v>45739</v>
      </c>
      <c r="G553">
        <f t="shared" si="16"/>
        <v>3</v>
      </c>
      <c r="H553" t="s">
        <v>23</v>
      </c>
      <c r="I553" t="s">
        <v>24</v>
      </c>
      <c r="J553" s="2">
        <v>6193.25</v>
      </c>
      <c r="K553" s="6">
        <v>0.6</v>
      </c>
      <c r="L553" t="s">
        <v>20</v>
      </c>
      <c r="M553" s="3">
        <f t="shared" si="17"/>
        <v>0</v>
      </c>
      <c r="N553" s="9" t="str" cm="1">
        <f t="array" ref="N553">_xlfn.IFS(C553&lt;18,"Under 18",C553&lt;36,"18-35",C553&lt;51,"36-50",C553&lt;66,"51-65",C553&gt;=66,"Above 65")</f>
        <v>36-50</v>
      </c>
      <c r="O553" s="6"/>
    </row>
    <row r="554" spans="1:15" x14ac:dyDescent="0.35">
      <c r="A554" t="s">
        <v>1056</v>
      </c>
      <c r="B554" t="s">
        <v>1057</v>
      </c>
      <c r="C554">
        <v>72</v>
      </c>
      <c r="D554" t="s">
        <v>18</v>
      </c>
      <c r="E554" s="5">
        <v>45948</v>
      </c>
      <c r="F554" s="5">
        <v>45955</v>
      </c>
      <c r="G554">
        <f t="shared" si="16"/>
        <v>7</v>
      </c>
      <c r="H554" t="s">
        <v>60</v>
      </c>
      <c r="I554" t="s">
        <v>61</v>
      </c>
      <c r="J554" s="2">
        <v>11831.06</v>
      </c>
      <c r="K554" s="6">
        <v>0.8</v>
      </c>
      <c r="L554" t="s">
        <v>25</v>
      </c>
      <c r="M554" s="3">
        <f t="shared" si="17"/>
        <v>0</v>
      </c>
      <c r="N554" s="9" t="str" cm="1">
        <f t="array" ref="N554">_xlfn.IFS(C554&lt;18,"Under 18",C554&lt;36,"18-35",C554&lt;51,"36-50",C554&lt;66,"51-65",C554&gt;=66,"Above 65")</f>
        <v>Above 65</v>
      </c>
      <c r="O554" s="6"/>
    </row>
    <row r="555" spans="1:15" x14ac:dyDescent="0.35">
      <c r="A555" t="s">
        <v>1058</v>
      </c>
      <c r="B555" t="s">
        <v>1059</v>
      </c>
      <c r="C555">
        <v>75</v>
      </c>
      <c r="D555" t="s">
        <v>12</v>
      </c>
      <c r="E555" s="5">
        <v>45692</v>
      </c>
      <c r="F555" s="5">
        <v>45699</v>
      </c>
      <c r="G555">
        <f t="shared" si="16"/>
        <v>7</v>
      </c>
      <c r="H555" t="s">
        <v>31</v>
      </c>
      <c r="I555" t="s">
        <v>87</v>
      </c>
      <c r="J555" s="2">
        <v>7790.86</v>
      </c>
      <c r="K555" s="6">
        <v>1</v>
      </c>
      <c r="L555" t="s">
        <v>15</v>
      </c>
      <c r="M555" s="3">
        <f t="shared" si="17"/>
        <v>7790.86</v>
      </c>
      <c r="N555" s="9" t="str" cm="1">
        <f t="array" ref="N555">_xlfn.IFS(C555&lt;18,"Under 18",C555&lt;36,"18-35",C555&lt;51,"36-50",C555&lt;66,"51-65",C555&gt;=66,"Above 65")</f>
        <v>Above 65</v>
      </c>
      <c r="O555" s="6"/>
    </row>
    <row r="556" spans="1:15" x14ac:dyDescent="0.35">
      <c r="A556" t="s">
        <v>1060</v>
      </c>
      <c r="B556" t="s">
        <v>1061</v>
      </c>
      <c r="C556">
        <v>27</v>
      </c>
      <c r="D556" t="s">
        <v>18</v>
      </c>
      <c r="E556" s="5">
        <v>45981</v>
      </c>
      <c r="F556" s="5">
        <v>45988</v>
      </c>
      <c r="G556">
        <f t="shared" si="16"/>
        <v>7</v>
      </c>
      <c r="H556" t="s">
        <v>31</v>
      </c>
      <c r="I556" t="s">
        <v>44</v>
      </c>
      <c r="J556" s="2">
        <v>4784.6000000000004</v>
      </c>
      <c r="K556" s="6">
        <v>0.7</v>
      </c>
      <c r="L556" t="s">
        <v>15</v>
      </c>
      <c r="M556" s="3">
        <f t="shared" si="17"/>
        <v>4784.6000000000004</v>
      </c>
      <c r="N556" s="9" t="str" cm="1">
        <f t="array" ref="N556">_xlfn.IFS(C556&lt;18,"Under 18",C556&lt;36,"18-35",C556&lt;51,"36-50",C556&lt;66,"51-65",C556&gt;=66,"Above 65")</f>
        <v>18-35</v>
      </c>
      <c r="O556" s="6"/>
    </row>
    <row r="557" spans="1:15" x14ac:dyDescent="0.35">
      <c r="A557" t="s">
        <v>1062</v>
      </c>
      <c r="B557" t="s">
        <v>1063</v>
      </c>
      <c r="C557">
        <v>60</v>
      </c>
      <c r="D557" t="s">
        <v>12</v>
      </c>
      <c r="E557" s="5">
        <v>45327</v>
      </c>
      <c r="F557" s="5">
        <v>45331</v>
      </c>
      <c r="G557">
        <f t="shared" si="16"/>
        <v>4</v>
      </c>
      <c r="H557" t="s">
        <v>13</v>
      </c>
      <c r="I557" t="s">
        <v>38</v>
      </c>
      <c r="J557" s="2">
        <v>11688.29</v>
      </c>
      <c r="K557" s="6">
        <v>0.7</v>
      </c>
      <c r="L557" t="s">
        <v>25</v>
      </c>
      <c r="M557" s="3">
        <f t="shared" si="17"/>
        <v>0</v>
      </c>
      <c r="N557" s="9" t="str" cm="1">
        <f t="array" ref="N557">_xlfn.IFS(C557&lt;18,"Under 18",C557&lt;36,"18-35",C557&lt;51,"36-50",C557&lt;66,"51-65",C557&gt;=66,"Above 65")</f>
        <v>51-65</v>
      </c>
      <c r="O557" s="6"/>
    </row>
    <row r="558" spans="1:15" x14ac:dyDescent="0.35">
      <c r="A558" t="s">
        <v>1064</v>
      </c>
      <c r="B558" t="s">
        <v>1059</v>
      </c>
      <c r="C558">
        <v>42</v>
      </c>
      <c r="D558" t="s">
        <v>12</v>
      </c>
      <c r="E558" s="5">
        <v>45544</v>
      </c>
      <c r="F558" s="5">
        <v>45552</v>
      </c>
      <c r="G558">
        <f t="shared" si="16"/>
        <v>8</v>
      </c>
      <c r="H558" t="s">
        <v>13</v>
      </c>
      <c r="I558" t="s">
        <v>19</v>
      </c>
      <c r="J558" s="2">
        <v>18692.25</v>
      </c>
      <c r="K558" s="6">
        <v>0.7</v>
      </c>
      <c r="L558" t="s">
        <v>15</v>
      </c>
      <c r="M558" s="3">
        <f t="shared" si="17"/>
        <v>18692.25</v>
      </c>
      <c r="N558" s="9" t="str" cm="1">
        <f t="array" ref="N558">_xlfn.IFS(C558&lt;18,"Under 18",C558&lt;36,"18-35",C558&lt;51,"36-50",C558&lt;66,"51-65",C558&gt;=66,"Above 65")</f>
        <v>36-50</v>
      </c>
      <c r="O558" s="6"/>
    </row>
    <row r="559" spans="1:15" x14ac:dyDescent="0.35">
      <c r="A559" t="s">
        <v>1065</v>
      </c>
      <c r="B559" t="s">
        <v>1066</v>
      </c>
      <c r="C559">
        <v>10</v>
      </c>
      <c r="D559" t="s">
        <v>12</v>
      </c>
      <c r="E559" s="5">
        <v>45443</v>
      </c>
      <c r="F559" s="5">
        <v>45448</v>
      </c>
      <c r="G559">
        <f t="shared" si="16"/>
        <v>5</v>
      </c>
      <c r="H559" t="s">
        <v>49</v>
      </c>
      <c r="I559" t="s">
        <v>50</v>
      </c>
      <c r="J559" s="2">
        <v>3371.75</v>
      </c>
      <c r="K559" s="6">
        <v>1</v>
      </c>
      <c r="L559" t="s">
        <v>15</v>
      </c>
      <c r="M559" s="3">
        <f t="shared" si="17"/>
        <v>3371.75</v>
      </c>
      <c r="N559" s="9" t="str" cm="1">
        <f t="array" ref="N559">_xlfn.IFS(C559&lt;18,"Under 18",C559&lt;36,"18-35",C559&lt;51,"36-50",C559&lt;66,"51-65",C559&gt;=66,"Above 65")</f>
        <v>Under 18</v>
      </c>
      <c r="O559" s="6"/>
    </row>
    <row r="560" spans="1:15" x14ac:dyDescent="0.35">
      <c r="A560" t="s">
        <v>1067</v>
      </c>
      <c r="B560" t="s">
        <v>856</v>
      </c>
      <c r="C560">
        <v>79</v>
      </c>
      <c r="D560" t="s">
        <v>18</v>
      </c>
      <c r="E560" s="5">
        <v>45516</v>
      </c>
      <c r="F560" s="5">
        <v>45518</v>
      </c>
      <c r="G560">
        <f t="shared" si="16"/>
        <v>2</v>
      </c>
      <c r="H560" t="s">
        <v>23</v>
      </c>
      <c r="I560" t="s">
        <v>28</v>
      </c>
      <c r="J560" s="2">
        <v>4382.4799999999996</v>
      </c>
      <c r="K560" s="6">
        <v>0.7</v>
      </c>
      <c r="L560" t="s">
        <v>20</v>
      </c>
      <c r="M560" s="3">
        <f t="shared" si="17"/>
        <v>0</v>
      </c>
      <c r="N560" s="9" t="str" cm="1">
        <f t="array" ref="N560">_xlfn.IFS(C560&lt;18,"Under 18",C560&lt;36,"18-35",C560&lt;51,"36-50",C560&lt;66,"51-65",C560&gt;=66,"Above 65")</f>
        <v>Above 65</v>
      </c>
      <c r="O560" s="6"/>
    </row>
    <row r="561" spans="1:15" x14ac:dyDescent="0.35">
      <c r="A561" t="s">
        <v>1068</v>
      </c>
      <c r="B561" t="s">
        <v>1069</v>
      </c>
      <c r="C561">
        <v>82</v>
      </c>
      <c r="D561" t="s">
        <v>18</v>
      </c>
      <c r="E561" s="5">
        <v>45549</v>
      </c>
      <c r="F561" s="5">
        <v>45553</v>
      </c>
      <c r="G561">
        <f t="shared" si="16"/>
        <v>4</v>
      </c>
      <c r="H561" t="s">
        <v>31</v>
      </c>
      <c r="I561" t="s">
        <v>32</v>
      </c>
      <c r="J561" s="2">
        <v>4088.62</v>
      </c>
      <c r="K561" s="6">
        <v>0.6</v>
      </c>
      <c r="L561" t="s">
        <v>25</v>
      </c>
      <c r="M561" s="3">
        <f t="shared" si="17"/>
        <v>0</v>
      </c>
      <c r="N561" s="9" t="str" cm="1">
        <f t="array" ref="N561">_xlfn.IFS(C561&lt;18,"Under 18",C561&lt;36,"18-35",C561&lt;51,"36-50",C561&lt;66,"51-65",C561&gt;=66,"Above 65")</f>
        <v>Above 65</v>
      </c>
      <c r="O561" s="6"/>
    </row>
    <row r="562" spans="1:15" x14ac:dyDescent="0.35">
      <c r="A562" t="s">
        <v>1070</v>
      </c>
      <c r="B562" t="s">
        <v>1071</v>
      </c>
      <c r="C562">
        <v>7</v>
      </c>
      <c r="D562" t="s">
        <v>12</v>
      </c>
      <c r="E562" s="5">
        <v>45865</v>
      </c>
      <c r="F562" s="5">
        <v>45868</v>
      </c>
      <c r="G562">
        <f t="shared" si="16"/>
        <v>3</v>
      </c>
      <c r="H562" t="s">
        <v>49</v>
      </c>
      <c r="I562" t="s">
        <v>378</v>
      </c>
      <c r="J562" s="2">
        <v>3324.31</v>
      </c>
      <c r="K562" s="6">
        <v>0.8</v>
      </c>
      <c r="L562" t="s">
        <v>25</v>
      </c>
      <c r="M562" s="3">
        <f t="shared" si="17"/>
        <v>0</v>
      </c>
      <c r="N562" s="9" t="str" cm="1">
        <f t="array" ref="N562">_xlfn.IFS(C562&lt;18,"Under 18",C562&lt;36,"18-35",C562&lt;51,"36-50",C562&lt;66,"51-65",C562&gt;=66,"Above 65")</f>
        <v>Under 18</v>
      </c>
      <c r="O562" s="6"/>
    </row>
    <row r="563" spans="1:15" x14ac:dyDescent="0.35">
      <c r="A563" t="s">
        <v>1072</v>
      </c>
      <c r="B563" t="s">
        <v>91</v>
      </c>
      <c r="C563">
        <v>25</v>
      </c>
      <c r="D563" t="s">
        <v>12</v>
      </c>
      <c r="E563" s="5">
        <v>45413</v>
      </c>
      <c r="F563" s="5">
        <v>45421</v>
      </c>
      <c r="G563">
        <f t="shared" si="16"/>
        <v>8</v>
      </c>
      <c r="H563" t="s">
        <v>60</v>
      </c>
      <c r="I563" t="s">
        <v>61</v>
      </c>
      <c r="J563" s="2">
        <v>9961.07</v>
      </c>
      <c r="K563" s="6">
        <v>0.7</v>
      </c>
      <c r="L563" t="s">
        <v>15</v>
      </c>
      <c r="M563" s="3">
        <f t="shared" si="17"/>
        <v>9961.07</v>
      </c>
      <c r="N563" s="9" t="str" cm="1">
        <f t="array" ref="N563">_xlfn.IFS(C563&lt;18,"Under 18",C563&lt;36,"18-35",C563&lt;51,"36-50",C563&lt;66,"51-65",C563&gt;=66,"Above 65")</f>
        <v>18-35</v>
      </c>
      <c r="O563" s="6"/>
    </row>
    <row r="564" spans="1:15" x14ac:dyDescent="0.35">
      <c r="A564" t="s">
        <v>1073</v>
      </c>
      <c r="B564" t="s">
        <v>1074</v>
      </c>
      <c r="C564">
        <v>77</v>
      </c>
      <c r="D564" t="s">
        <v>12</v>
      </c>
      <c r="E564" s="5">
        <v>45315</v>
      </c>
      <c r="F564" s="5">
        <v>45321</v>
      </c>
      <c r="G564">
        <f t="shared" si="16"/>
        <v>6</v>
      </c>
      <c r="H564" t="s">
        <v>31</v>
      </c>
      <c r="I564" t="s">
        <v>87</v>
      </c>
      <c r="J564" s="2">
        <v>8841.14</v>
      </c>
      <c r="K564" s="6">
        <v>0</v>
      </c>
      <c r="L564" t="s">
        <v>15</v>
      </c>
      <c r="M564" s="3">
        <f t="shared" si="17"/>
        <v>8841.14</v>
      </c>
      <c r="N564" s="9" t="str" cm="1">
        <f t="array" ref="N564">_xlfn.IFS(C564&lt;18,"Under 18",C564&lt;36,"18-35",C564&lt;51,"36-50",C564&lt;66,"51-65",C564&gt;=66,"Above 65")</f>
        <v>Above 65</v>
      </c>
      <c r="O564" s="6"/>
    </row>
    <row r="565" spans="1:15" x14ac:dyDescent="0.35">
      <c r="A565" t="s">
        <v>1075</v>
      </c>
      <c r="B565" t="s">
        <v>1076</v>
      </c>
      <c r="C565">
        <v>3</v>
      </c>
      <c r="D565" t="s">
        <v>12</v>
      </c>
      <c r="E565" s="5">
        <v>45756</v>
      </c>
      <c r="F565" s="5">
        <v>45759</v>
      </c>
      <c r="G565">
        <f t="shared" si="16"/>
        <v>3</v>
      </c>
      <c r="H565" t="s">
        <v>49</v>
      </c>
      <c r="I565" t="s">
        <v>50</v>
      </c>
      <c r="J565" s="2">
        <v>5228.9399999999996</v>
      </c>
      <c r="K565" s="6">
        <v>0.5</v>
      </c>
      <c r="L565" t="s">
        <v>20</v>
      </c>
      <c r="M565" s="3">
        <f t="shared" si="17"/>
        <v>0</v>
      </c>
      <c r="N565" s="9" t="str" cm="1">
        <f t="array" ref="N565">_xlfn.IFS(C565&lt;18,"Under 18",C565&lt;36,"18-35",C565&lt;51,"36-50",C565&lt;66,"51-65",C565&gt;=66,"Above 65")</f>
        <v>Under 18</v>
      </c>
      <c r="O565" s="6"/>
    </row>
    <row r="566" spans="1:15" x14ac:dyDescent="0.35">
      <c r="A566" t="s">
        <v>1077</v>
      </c>
      <c r="B566" t="s">
        <v>1078</v>
      </c>
      <c r="C566">
        <v>47</v>
      </c>
      <c r="D566" t="s">
        <v>12</v>
      </c>
      <c r="E566" s="5">
        <v>45966</v>
      </c>
      <c r="F566" s="5">
        <v>45971</v>
      </c>
      <c r="G566">
        <f t="shared" si="16"/>
        <v>5</v>
      </c>
      <c r="H566" t="s">
        <v>31</v>
      </c>
      <c r="I566" t="s">
        <v>114</v>
      </c>
      <c r="J566" s="2">
        <v>6395.28</v>
      </c>
      <c r="K566" s="6">
        <v>0.9</v>
      </c>
      <c r="L566" t="s">
        <v>15</v>
      </c>
      <c r="M566" s="3">
        <f t="shared" si="17"/>
        <v>6395.28</v>
      </c>
      <c r="N566" s="9" t="str" cm="1">
        <f t="array" ref="N566">_xlfn.IFS(C566&lt;18,"Under 18",C566&lt;36,"18-35",C566&lt;51,"36-50",C566&lt;66,"51-65",C566&gt;=66,"Above 65")</f>
        <v>36-50</v>
      </c>
      <c r="O566" s="6"/>
    </row>
    <row r="567" spans="1:15" x14ac:dyDescent="0.35">
      <c r="A567" t="s">
        <v>1079</v>
      </c>
      <c r="B567" t="s">
        <v>346</v>
      </c>
      <c r="C567">
        <v>68</v>
      </c>
      <c r="D567" t="s">
        <v>18</v>
      </c>
      <c r="E567" s="5">
        <v>45516</v>
      </c>
      <c r="F567" s="5">
        <v>45517</v>
      </c>
      <c r="G567">
        <f t="shared" si="16"/>
        <v>1</v>
      </c>
      <c r="H567" t="s">
        <v>31</v>
      </c>
      <c r="I567" t="s">
        <v>87</v>
      </c>
      <c r="J567" s="2">
        <v>973.65</v>
      </c>
      <c r="K567" s="6">
        <v>0.8</v>
      </c>
      <c r="L567" t="s">
        <v>20</v>
      </c>
      <c r="M567" s="3">
        <f t="shared" si="17"/>
        <v>0</v>
      </c>
      <c r="N567" s="9" t="str" cm="1">
        <f t="array" ref="N567">_xlfn.IFS(C567&lt;18,"Under 18",C567&lt;36,"18-35",C567&lt;51,"36-50",C567&lt;66,"51-65",C567&gt;=66,"Above 65")</f>
        <v>Above 65</v>
      </c>
      <c r="O567" s="6"/>
    </row>
    <row r="568" spans="1:15" x14ac:dyDescent="0.35">
      <c r="A568" t="s">
        <v>1080</v>
      </c>
      <c r="B568" t="s">
        <v>412</v>
      </c>
      <c r="C568">
        <v>52</v>
      </c>
      <c r="D568" t="s">
        <v>12</v>
      </c>
      <c r="E568" s="5">
        <v>45724</v>
      </c>
      <c r="F568" s="5">
        <v>45729</v>
      </c>
      <c r="G568">
        <f t="shared" si="16"/>
        <v>5</v>
      </c>
      <c r="H568" t="s">
        <v>13</v>
      </c>
      <c r="I568" t="s">
        <v>38</v>
      </c>
      <c r="J568" s="2">
        <v>10137.39</v>
      </c>
      <c r="K568" s="6">
        <v>0.7</v>
      </c>
      <c r="L568" t="s">
        <v>25</v>
      </c>
      <c r="M568" s="3">
        <f t="shared" si="17"/>
        <v>0</v>
      </c>
      <c r="N568" s="9" t="str" cm="1">
        <f t="array" ref="N568">_xlfn.IFS(C568&lt;18,"Under 18",C568&lt;36,"18-35",C568&lt;51,"36-50",C568&lt;66,"51-65",C568&gt;=66,"Above 65")</f>
        <v>51-65</v>
      </c>
      <c r="O568" s="6"/>
    </row>
    <row r="569" spans="1:15" x14ac:dyDescent="0.35">
      <c r="A569" t="s">
        <v>1081</v>
      </c>
      <c r="B569" t="s">
        <v>439</v>
      </c>
      <c r="C569">
        <v>28</v>
      </c>
      <c r="D569" t="s">
        <v>18</v>
      </c>
      <c r="E569" s="5">
        <v>45300</v>
      </c>
      <c r="F569" s="5">
        <v>45312</v>
      </c>
      <c r="G569">
        <f t="shared" si="16"/>
        <v>12</v>
      </c>
      <c r="H569" t="s">
        <v>60</v>
      </c>
      <c r="I569" t="s">
        <v>77</v>
      </c>
      <c r="J569" s="2">
        <v>22947.49</v>
      </c>
      <c r="K569" s="6">
        <v>0.8</v>
      </c>
      <c r="L569" t="s">
        <v>15</v>
      </c>
      <c r="M569" s="3">
        <f t="shared" si="17"/>
        <v>22947.49</v>
      </c>
      <c r="N569" s="9" t="str" cm="1">
        <f t="array" ref="N569">_xlfn.IFS(C569&lt;18,"Under 18",C569&lt;36,"18-35",C569&lt;51,"36-50",C569&lt;66,"51-65",C569&gt;=66,"Above 65")</f>
        <v>18-35</v>
      </c>
      <c r="O569" s="6"/>
    </row>
    <row r="570" spans="1:15" x14ac:dyDescent="0.35">
      <c r="A570" t="s">
        <v>1082</v>
      </c>
      <c r="B570" t="s">
        <v>1083</v>
      </c>
      <c r="C570">
        <v>67</v>
      </c>
      <c r="D570" t="s">
        <v>12</v>
      </c>
      <c r="E570" s="5">
        <v>45553</v>
      </c>
      <c r="F570" s="5">
        <v>45555</v>
      </c>
      <c r="G570">
        <f t="shared" si="16"/>
        <v>2</v>
      </c>
      <c r="H570" t="s">
        <v>60</v>
      </c>
      <c r="I570" t="s">
        <v>133</v>
      </c>
      <c r="J570" s="2">
        <v>2438.71</v>
      </c>
      <c r="K570" s="6">
        <v>0.7</v>
      </c>
      <c r="L570" t="s">
        <v>25</v>
      </c>
      <c r="M570" s="3">
        <f t="shared" si="17"/>
        <v>0</v>
      </c>
      <c r="N570" s="9" t="str" cm="1">
        <f t="array" ref="N570">_xlfn.IFS(C570&lt;18,"Under 18",C570&lt;36,"18-35",C570&lt;51,"36-50",C570&lt;66,"51-65",C570&gt;=66,"Above 65")</f>
        <v>Above 65</v>
      </c>
      <c r="O570" s="6"/>
    </row>
    <row r="571" spans="1:15" x14ac:dyDescent="0.35">
      <c r="A571" t="s">
        <v>1084</v>
      </c>
      <c r="B571" t="s">
        <v>750</v>
      </c>
      <c r="C571">
        <v>55</v>
      </c>
      <c r="D571" t="s">
        <v>18</v>
      </c>
      <c r="E571" s="5">
        <v>45360</v>
      </c>
      <c r="F571" s="5">
        <v>45362</v>
      </c>
      <c r="G571">
        <f t="shared" si="16"/>
        <v>2</v>
      </c>
      <c r="H571" t="s">
        <v>23</v>
      </c>
      <c r="I571" t="s">
        <v>333</v>
      </c>
      <c r="J571" s="2">
        <v>1963.87</v>
      </c>
      <c r="K571" s="6">
        <v>0.8</v>
      </c>
      <c r="L571" t="s">
        <v>25</v>
      </c>
      <c r="M571" s="3">
        <f t="shared" si="17"/>
        <v>0</v>
      </c>
      <c r="N571" s="9" t="str" cm="1">
        <f t="array" ref="N571">_xlfn.IFS(C571&lt;18,"Under 18",C571&lt;36,"18-35",C571&lt;51,"36-50",C571&lt;66,"51-65",C571&gt;=66,"Above 65")</f>
        <v>51-65</v>
      </c>
      <c r="O571" s="6"/>
    </row>
    <row r="572" spans="1:15" x14ac:dyDescent="0.35">
      <c r="A572" t="s">
        <v>1085</v>
      </c>
      <c r="B572" t="s">
        <v>1051</v>
      </c>
      <c r="C572">
        <v>12</v>
      </c>
      <c r="D572" t="s">
        <v>12</v>
      </c>
      <c r="E572" s="5">
        <v>45831</v>
      </c>
      <c r="F572" s="5">
        <v>45834</v>
      </c>
      <c r="G572">
        <f t="shared" si="16"/>
        <v>3</v>
      </c>
      <c r="H572" t="s">
        <v>49</v>
      </c>
      <c r="I572" t="s">
        <v>123</v>
      </c>
      <c r="J572" s="2">
        <v>3527.16</v>
      </c>
      <c r="K572" s="6">
        <v>0.7</v>
      </c>
      <c r="L572" t="s">
        <v>15</v>
      </c>
      <c r="M572" s="3">
        <f t="shared" si="17"/>
        <v>3527.16</v>
      </c>
      <c r="N572" s="9" t="str" cm="1">
        <f t="array" ref="N572">_xlfn.IFS(C572&lt;18,"Under 18",C572&lt;36,"18-35",C572&lt;51,"36-50",C572&lt;66,"51-65",C572&gt;=66,"Above 65")</f>
        <v>Under 18</v>
      </c>
      <c r="O572" s="6"/>
    </row>
    <row r="573" spans="1:15" x14ac:dyDescent="0.35">
      <c r="A573" t="s">
        <v>1086</v>
      </c>
      <c r="B573" t="s">
        <v>1087</v>
      </c>
      <c r="C573">
        <v>35</v>
      </c>
      <c r="D573" t="s">
        <v>12</v>
      </c>
      <c r="E573" s="5">
        <v>45864</v>
      </c>
      <c r="F573" s="5">
        <v>45867</v>
      </c>
      <c r="G573">
        <f t="shared" si="16"/>
        <v>3</v>
      </c>
      <c r="H573" t="s">
        <v>23</v>
      </c>
      <c r="I573" t="s">
        <v>333</v>
      </c>
      <c r="J573" s="2">
        <v>5342.79</v>
      </c>
      <c r="K573" s="6">
        <v>0.7</v>
      </c>
      <c r="L573" t="s">
        <v>15</v>
      </c>
      <c r="M573" s="3">
        <f t="shared" si="17"/>
        <v>5342.79</v>
      </c>
      <c r="N573" s="9" t="str" cm="1">
        <f t="array" ref="N573">_xlfn.IFS(C573&lt;18,"Under 18",C573&lt;36,"18-35",C573&lt;51,"36-50",C573&lt;66,"51-65",C573&gt;=66,"Above 65")</f>
        <v>18-35</v>
      </c>
      <c r="O573" s="6"/>
    </row>
    <row r="574" spans="1:15" x14ac:dyDescent="0.35">
      <c r="A574" t="s">
        <v>1088</v>
      </c>
      <c r="B574" t="s">
        <v>1089</v>
      </c>
      <c r="C574">
        <v>30</v>
      </c>
      <c r="D574" t="s">
        <v>18</v>
      </c>
      <c r="E574" s="5">
        <v>45523</v>
      </c>
      <c r="F574" s="5">
        <v>45535</v>
      </c>
      <c r="G574">
        <f t="shared" si="16"/>
        <v>12</v>
      </c>
      <c r="H574" t="s">
        <v>60</v>
      </c>
      <c r="I574" t="s">
        <v>77</v>
      </c>
      <c r="J574" s="2">
        <v>30203.49</v>
      </c>
      <c r="K574" s="6">
        <v>1</v>
      </c>
      <c r="L574" t="s">
        <v>20</v>
      </c>
      <c r="M574" s="3">
        <f t="shared" si="17"/>
        <v>0</v>
      </c>
      <c r="N574" s="9" t="str" cm="1">
        <f t="array" ref="N574">_xlfn.IFS(C574&lt;18,"Under 18",C574&lt;36,"18-35",C574&lt;51,"36-50",C574&lt;66,"51-65",C574&gt;=66,"Above 65")</f>
        <v>18-35</v>
      </c>
      <c r="O574" s="6"/>
    </row>
    <row r="575" spans="1:15" x14ac:dyDescent="0.35">
      <c r="A575" t="s">
        <v>1090</v>
      </c>
      <c r="B575" t="s">
        <v>606</v>
      </c>
      <c r="C575">
        <v>69</v>
      </c>
      <c r="D575" t="s">
        <v>12</v>
      </c>
      <c r="E575" s="5">
        <v>45407</v>
      </c>
      <c r="F575" s="5">
        <v>45413</v>
      </c>
      <c r="G575">
        <f t="shared" si="16"/>
        <v>6</v>
      </c>
      <c r="H575" t="s">
        <v>60</v>
      </c>
      <c r="I575" t="s">
        <v>77</v>
      </c>
      <c r="J575" s="2">
        <v>7312.84</v>
      </c>
      <c r="K575" s="6">
        <v>0.7</v>
      </c>
      <c r="L575" t="s">
        <v>20</v>
      </c>
      <c r="M575" s="3">
        <f t="shared" si="17"/>
        <v>0</v>
      </c>
      <c r="N575" s="9" t="str" cm="1">
        <f t="array" ref="N575">_xlfn.IFS(C575&lt;18,"Under 18",C575&lt;36,"18-35",C575&lt;51,"36-50",C575&lt;66,"51-65",C575&gt;=66,"Above 65")</f>
        <v>Above 65</v>
      </c>
      <c r="O575" s="6"/>
    </row>
    <row r="576" spans="1:15" x14ac:dyDescent="0.35">
      <c r="A576" t="s">
        <v>1091</v>
      </c>
      <c r="B576" t="s">
        <v>693</v>
      </c>
      <c r="C576">
        <v>34</v>
      </c>
      <c r="D576" t="s">
        <v>18</v>
      </c>
      <c r="E576" s="5">
        <v>45443</v>
      </c>
      <c r="F576" s="5">
        <v>45447</v>
      </c>
      <c r="G576">
        <f t="shared" si="16"/>
        <v>4</v>
      </c>
      <c r="H576" t="s">
        <v>31</v>
      </c>
      <c r="I576" t="s">
        <v>234</v>
      </c>
      <c r="J576" s="2">
        <v>4926.28</v>
      </c>
      <c r="K576" s="6">
        <v>0.9</v>
      </c>
      <c r="L576" t="s">
        <v>15</v>
      </c>
      <c r="M576" s="3">
        <f t="shared" si="17"/>
        <v>4926.28</v>
      </c>
      <c r="N576" s="9" t="str" cm="1">
        <f t="array" ref="N576">_xlfn.IFS(C576&lt;18,"Under 18",C576&lt;36,"18-35",C576&lt;51,"36-50",C576&lt;66,"51-65",C576&gt;=66,"Above 65")</f>
        <v>18-35</v>
      </c>
      <c r="O576" s="6"/>
    </row>
    <row r="577" spans="1:15" x14ac:dyDescent="0.35">
      <c r="A577" t="s">
        <v>1092</v>
      </c>
      <c r="B577" t="s">
        <v>1093</v>
      </c>
      <c r="C577">
        <v>84</v>
      </c>
      <c r="D577" t="s">
        <v>18</v>
      </c>
      <c r="E577" s="5">
        <v>45906</v>
      </c>
      <c r="F577" s="5">
        <v>45908</v>
      </c>
      <c r="G577">
        <f t="shared" si="16"/>
        <v>2</v>
      </c>
      <c r="H577" t="s">
        <v>23</v>
      </c>
      <c r="I577" t="s">
        <v>28</v>
      </c>
      <c r="J577" s="2">
        <v>3526.66</v>
      </c>
      <c r="K577" s="6">
        <v>1</v>
      </c>
      <c r="L577" t="s">
        <v>25</v>
      </c>
      <c r="M577" s="3">
        <f t="shared" si="17"/>
        <v>0</v>
      </c>
      <c r="N577" s="9" t="str" cm="1">
        <f t="array" ref="N577">_xlfn.IFS(C577&lt;18,"Under 18",C577&lt;36,"18-35",C577&lt;51,"36-50",C577&lt;66,"51-65",C577&gt;=66,"Above 65")</f>
        <v>Above 65</v>
      </c>
      <c r="O577" s="6"/>
    </row>
    <row r="578" spans="1:15" x14ac:dyDescent="0.35">
      <c r="A578" t="s">
        <v>1094</v>
      </c>
      <c r="B578" t="s">
        <v>1095</v>
      </c>
      <c r="C578">
        <v>76</v>
      </c>
      <c r="D578" t="s">
        <v>18</v>
      </c>
      <c r="E578" s="5">
        <v>45777</v>
      </c>
      <c r="F578" s="5">
        <v>45781</v>
      </c>
      <c r="G578">
        <f t="shared" si="16"/>
        <v>4</v>
      </c>
      <c r="H578" t="s">
        <v>31</v>
      </c>
      <c r="I578" t="s">
        <v>114</v>
      </c>
      <c r="J578" s="2">
        <v>3004.47</v>
      </c>
      <c r="K578" s="6">
        <v>0.8</v>
      </c>
      <c r="L578" t="s">
        <v>15</v>
      </c>
      <c r="M578" s="3">
        <f t="shared" si="17"/>
        <v>3004.47</v>
      </c>
      <c r="N578" s="9" t="str" cm="1">
        <f t="array" ref="N578">_xlfn.IFS(C578&lt;18,"Under 18",C578&lt;36,"18-35",C578&lt;51,"36-50",C578&lt;66,"51-65",C578&gt;=66,"Above 65")</f>
        <v>Above 65</v>
      </c>
      <c r="O578" s="6"/>
    </row>
    <row r="579" spans="1:15" x14ac:dyDescent="0.35">
      <c r="A579" t="s">
        <v>1096</v>
      </c>
      <c r="B579" t="s">
        <v>1097</v>
      </c>
      <c r="C579">
        <v>55</v>
      </c>
      <c r="D579" t="s">
        <v>12</v>
      </c>
      <c r="E579" s="5">
        <v>45799</v>
      </c>
      <c r="F579" s="5">
        <v>45800</v>
      </c>
      <c r="G579">
        <f t="shared" ref="G579:G642" si="18">DATEDIF(E579,F579,"D")</f>
        <v>1</v>
      </c>
      <c r="H579" t="s">
        <v>23</v>
      </c>
      <c r="I579" t="s">
        <v>204</v>
      </c>
      <c r="J579" s="2">
        <v>988.47</v>
      </c>
      <c r="K579" s="6">
        <v>0.9</v>
      </c>
      <c r="L579" t="s">
        <v>15</v>
      </c>
      <c r="M579" s="3">
        <f t="shared" ref="M579:M642" si="19">IF(L579 = "Paid",J579,0)</f>
        <v>988.47</v>
      </c>
      <c r="N579" s="9" t="str" cm="1">
        <f t="array" ref="N579">_xlfn.IFS(C579&lt;18,"Under 18",C579&lt;36,"18-35",C579&lt;51,"36-50",C579&lt;66,"51-65",C579&gt;=66,"Above 65")</f>
        <v>51-65</v>
      </c>
      <c r="O579" s="6"/>
    </row>
    <row r="580" spans="1:15" x14ac:dyDescent="0.35">
      <c r="A580" t="s">
        <v>1098</v>
      </c>
      <c r="B580" t="s">
        <v>1099</v>
      </c>
      <c r="C580">
        <v>63</v>
      </c>
      <c r="D580" t="s">
        <v>18</v>
      </c>
      <c r="E580" s="5">
        <v>45845</v>
      </c>
      <c r="F580" s="5">
        <v>45852</v>
      </c>
      <c r="G580">
        <f t="shared" si="18"/>
        <v>7</v>
      </c>
      <c r="H580" t="s">
        <v>13</v>
      </c>
      <c r="I580" t="s">
        <v>165</v>
      </c>
      <c r="J580" s="2">
        <v>8993.9699999999993</v>
      </c>
      <c r="K580" s="6">
        <v>0.6</v>
      </c>
      <c r="L580" t="s">
        <v>15</v>
      </c>
      <c r="M580" s="3">
        <f t="shared" si="19"/>
        <v>8993.9699999999993</v>
      </c>
      <c r="N580" s="9" t="str" cm="1">
        <f t="array" ref="N580">_xlfn.IFS(C580&lt;18,"Under 18",C580&lt;36,"18-35",C580&lt;51,"36-50",C580&lt;66,"51-65",C580&gt;=66,"Above 65")</f>
        <v>51-65</v>
      </c>
      <c r="O580" s="6"/>
    </row>
    <row r="581" spans="1:15" x14ac:dyDescent="0.35">
      <c r="A581" t="s">
        <v>1100</v>
      </c>
      <c r="B581" t="s">
        <v>1101</v>
      </c>
      <c r="C581">
        <v>66</v>
      </c>
      <c r="D581" t="s">
        <v>12</v>
      </c>
      <c r="E581" s="5">
        <v>45839</v>
      </c>
      <c r="F581" s="5">
        <v>45843</v>
      </c>
      <c r="G581">
        <f t="shared" si="18"/>
        <v>4</v>
      </c>
      <c r="H581" t="s">
        <v>13</v>
      </c>
      <c r="I581" t="s">
        <v>102</v>
      </c>
      <c r="J581" s="2">
        <v>7934.14</v>
      </c>
      <c r="K581" s="6">
        <v>0.8</v>
      </c>
      <c r="L581" t="s">
        <v>15</v>
      </c>
      <c r="M581" s="3">
        <f t="shared" si="19"/>
        <v>7934.14</v>
      </c>
      <c r="N581" s="9" t="str" cm="1">
        <f t="array" ref="N581">_xlfn.IFS(C581&lt;18,"Under 18",C581&lt;36,"18-35",C581&lt;51,"36-50",C581&lt;66,"51-65",C581&gt;=66,"Above 65")</f>
        <v>Above 65</v>
      </c>
      <c r="O581" s="6"/>
    </row>
    <row r="582" spans="1:15" x14ac:dyDescent="0.35">
      <c r="A582" t="s">
        <v>1102</v>
      </c>
      <c r="B582" t="s">
        <v>1103</v>
      </c>
      <c r="C582">
        <v>35</v>
      </c>
      <c r="D582" t="s">
        <v>18</v>
      </c>
      <c r="E582" s="5">
        <v>45923</v>
      </c>
      <c r="F582" s="5">
        <v>45926</v>
      </c>
      <c r="G582">
        <f t="shared" si="18"/>
        <v>3</v>
      </c>
      <c r="H582" t="s">
        <v>23</v>
      </c>
      <c r="I582" t="s">
        <v>221</v>
      </c>
      <c r="J582" s="2">
        <v>2517.29</v>
      </c>
      <c r="K582" s="6">
        <v>0.8</v>
      </c>
      <c r="L582" t="s">
        <v>15</v>
      </c>
      <c r="M582" s="3">
        <f t="shared" si="19"/>
        <v>2517.29</v>
      </c>
      <c r="N582" s="9" t="str" cm="1">
        <f t="array" ref="N582">_xlfn.IFS(C582&lt;18,"Under 18",C582&lt;36,"18-35",C582&lt;51,"36-50",C582&lt;66,"51-65",C582&gt;=66,"Above 65")</f>
        <v>18-35</v>
      </c>
      <c r="O582" s="6"/>
    </row>
    <row r="583" spans="1:15" x14ac:dyDescent="0.35">
      <c r="A583" t="s">
        <v>1104</v>
      </c>
      <c r="B583" t="s">
        <v>1105</v>
      </c>
      <c r="C583">
        <v>48</v>
      </c>
      <c r="D583" t="s">
        <v>12</v>
      </c>
      <c r="E583" s="5">
        <v>45473</v>
      </c>
      <c r="F583" s="5">
        <v>45481</v>
      </c>
      <c r="G583">
        <f t="shared" si="18"/>
        <v>8</v>
      </c>
      <c r="H583" t="s">
        <v>13</v>
      </c>
      <c r="I583" t="s">
        <v>14</v>
      </c>
      <c r="J583" s="2">
        <v>12873.58</v>
      </c>
      <c r="K583" s="6">
        <v>0.7</v>
      </c>
      <c r="L583" t="s">
        <v>20</v>
      </c>
      <c r="M583" s="3">
        <f t="shared" si="19"/>
        <v>0</v>
      </c>
      <c r="N583" s="9" t="str" cm="1">
        <f t="array" ref="N583">_xlfn.IFS(C583&lt;18,"Under 18",C583&lt;36,"18-35",C583&lt;51,"36-50",C583&lt;66,"51-65",C583&gt;=66,"Above 65")</f>
        <v>36-50</v>
      </c>
      <c r="O583" s="6"/>
    </row>
    <row r="584" spans="1:15" x14ac:dyDescent="0.35">
      <c r="A584" t="s">
        <v>1106</v>
      </c>
      <c r="B584" t="s">
        <v>1107</v>
      </c>
      <c r="C584">
        <v>73</v>
      </c>
      <c r="D584" t="s">
        <v>18</v>
      </c>
      <c r="E584" s="5">
        <v>45906</v>
      </c>
      <c r="F584" s="5">
        <v>45910</v>
      </c>
      <c r="G584">
        <f t="shared" si="18"/>
        <v>4</v>
      </c>
      <c r="H584" t="s">
        <v>31</v>
      </c>
      <c r="I584" t="s">
        <v>32</v>
      </c>
      <c r="J584" s="2">
        <v>5208.9799999999996</v>
      </c>
      <c r="K584" s="6">
        <v>0.8</v>
      </c>
      <c r="L584" t="s">
        <v>15</v>
      </c>
      <c r="M584" s="3">
        <f t="shared" si="19"/>
        <v>5208.9799999999996</v>
      </c>
      <c r="N584" s="9" t="str" cm="1">
        <f t="array" ref="N584">_xlfn.IFS(C584&lt;18,"Under 18",C584&lt;36,"18-35",C584&lt;51,"36-50",C584&lt;66,"51-65",C584&gt;=66,"Above 65")</f>
        <v>Above 65</v>
      </c>
      <c r="O584" s="6"/>
    </row>
    <row r="585" spans="1:15" x14ac:dyDescent="0.35">
      <c r="A585" t="s">
        <v>1108</v>
      </c>
      <c r="B585" t="s">
        <v>1109</v>
      </c>
      <c r="C585">
        <v>80</v>
      </c>
      <c r="D585" t="s">
        <v>12</v>
      </c>
      <c r="E585" s="5">
        <v>45489</v>
      </c>
      <c r="F585" s="5">
        <v>45498</v>
      </c>
      <c r="G585">
        <f t="shared" si="18"/>
        <v>9</v>
      </c>
      <c r="H585" t="s">
        <v>13</v>
      </c>
      <c r="I585" t="s">
        <v>19</v>
      </c>
      <c r="J585" s="2">
        <v>16136.12</v>
      </c>
      <c r="K585" s="6">
        <v>1</v>
      </c>
      <c r="L585" t="s">
        <v>15</v>
      </c>
      <c r="M585" s="3">
        <f t="shared" si="19"/>
        <v>16136.12</v>
      </c>
      <c r="N585" s="9" t="str" cm="1">
        <f t="array" ref="N585">_xlfn.IFS(C585&lt;18,"Under 18",C585&lt;36,"18-35",C585&lt;51,"36-50",C585&lt;66,"51-65",C585&gt;=66,"Above 65")</f>
        <v>Above 65</v>
      </c>
      <c r="O585" s="6"/>
    </row>
    <row r="586" spans="1:15" x14ac:dyDescent="0.35">
      <c r="A586" t="s">
        <v>1110</v>
      </c>
      <c r="B586" t="s">
        <v>717</v>
      </c>
      <c r="C586">
        <v>10</v>
      </c>
      <c r="D586" t="s">
        <v>18</v>
      </c>
      <c r="E586" s="5">
        <v>45873</v>
      </c>
      <c r="F586" s="5">
        <v>45877</v>
      </c>
      <c r="G586">
        <f t="shared" si="18"/>
        <v>4</v>
      </c>
      <c r="H586" t="s">
        <v>49</v>
      </c>
      <c r="I586" t="s">
        <v>120</v>
      </c>
      <c r="J586" s="2">
        <v>4827.5</v>
      </c>
      <c r="K586" s="6">
        <v>0.8</v>
      </c>
      <c r="L586" t="s">
        <v>25</v>
      </c>
      <c r="M586" s="3">
        <f t="shared" si="19"/>
        <v>0</v>
      </c>
      <c r="N586" s="9" t="str" cm="1">
        <f t="array" ref="N586">_xlfn.IFS(C586&lt;18,"Under 18",C586&lt;36,"18-35",C586&lt;51,"36-50",C586&lt;66,"51-65",C586&gt;=66,"Above 65")</f>
        <v>Under 18</v>
      </c>
      <c r="O586" s="6"/>
    </row>
    <row r="587" spans="1:15" x14ac:dyDescent="0.35">
      <c r="A587" t="s">
        <v>1111</v>
      </c>
      <c r="B587" t="s">
        <v>449</v>
      </c>
      <c r="C587">
        <v>19</v>
      </c>
      <c r="D587" t="s">
        <v>12</v>
      </c>
      <c r="E587" s="5">
        <v>45850</v>
      </c>
      <c r="F587" s="5">
        <v>45853</v>
      </c>
      <c r="G587">
        <f t="shared" si="18"/>
        <v>3</v>
      </c>
      <c r="H587" t="s">
        <v>23</v>
      </c>
      <c r="I587" t="s">
        <v>28</v>
      </c>
      <c r="J587" s="2">
        <v>6858.75</v>
      </c>
      <c r="K587" s="6">
        <v>0.8</v>
      </c>
      <c r="L587" t="s">
        <v>20</v>
      </c>
      <c r="M587" s="3">
        <f t="shared" si="19"/>
        <v>0</v>
      </c>
      <c r="N587" s="9" t="str" cm="1">
        <f t="array" ref="N587">_xlfn.IFS(C587&lt;18,"Under 18",C587&lt;36,"18-35",C587&lt;51,"36-50",C587&lt;66,"51-65",C587&gt;=66,"Above 65")</f>
        <v>18-35</v>
      </c>
      <c r="O587" s="6"/>
    </row>
    <row r="588" spans="1:15" x14ac:dyDescent="0.35">
      <c r="A588" t="s">
        <v>1112</v>
      </c>
      <c r="B588" t="s">
        <v>1113</v>
      </c>
      <c r="C588">
        <v>9</v>
      </c>
      <c r="D588" t="s">
        <v>18</v>
      </c>
      <c r="E588" s="5">
        <v>45612</v>
      </c>
      <c r="F588" s="5">
        <v>45617</v>
      </c>
      <c r="G588">
        <f t="shared" si="18"/>
        <v>5</v>
      </c>
      <c r="H588" t="s">
        <v>49</v>
      </c>
      <c r="I588" t="s">
        <v>123</v>
      </c>
      <c r="J588" s="2">
        <v>6485.39</v>
      </c>
      <c r="K588" s="6">
        <v>0.7</v>
      </c>
      <c r="L588" t="s">
        <v>25</v>
      </c>
      <c r="M588" s="3">
        <f t="shared" si="19"/>
        <v>0</v>
      </c>
      <c r="N588" s="9" t="str" cm="1">
        <f t="array" ref="N588">_xlfn.IFS(C588&lt;18,"Under 18",C588&lt;36,"18-35",C588&lt;51,"36-50",C588&lt;66,"51-65",C588&gt;=66,"Above 65")</f>
        <v>Under 18</v>
      </c>
      <c r="O588" s="6"/>
    </row>
    <row r="589" spans="1:15" x14ac:dyDescent="0.35">
      <c r="A589" t="s">
        <v>1114</v>
      </c>
      <c r="B589" t="s">
        <v>1115</v>
      </c>
      <c r="C589">
        <v>71</v>
      </c>
      <c r="D589" t="s">
        <v>12</v>
      </c>
      <c r="E589" s="5">
        <v>45498</v>
      </c>
      <c r="F589" s="5">
        <v>45502</v>
      </c>
      <c r="G589">
        <f t="shared" si="18"/>
        <v>4</v>
      </c>
      <c r="H589" t="s">
        <v>31</v>
      </c>
      <c r="I589" t="s">
        <v>53</v>
      </c>
      <c r="J589" s="2">
        <v>5888.84</v>
      </c>
      <c r="K589" s="6">
        <v>0.6</v>
      </c>
      <c r="L589" t="s">
        <v>15</v>
      </c>
      <c r="M589" s="3">
        <f t="shared" si="19"/>
        <v>5888.84</v>
      </c>
      <c r="N589" s="9" t="str" cm="1">
        <f t="array" ref="N589">_xlfn.IFS(C589&lt;18,"Under 18",C589&lt;36,"18-35",C589&lt;51,"36-50",C589&lt;66,"51-65",C589&gt;=66,"Above 65")</f>
        <v>Above 65</v>
      </c>
      <c r="O589" s="6"/>
    </row>
    <row r="590" spans="1:15" x14ac:dyDescent="0.35">
      <c r="A590" t="s">
        <v>1116</v>
      </c>
      <c r="B590" t="s">
        <v>1117</v>
      </c>
      <c r="C590">
        <v>57</v>
      </c>
      <c r="D590" t="s">
        <v>12</v>
      </c>
      <c r="E590" s="5">
        <v>45748</v>
      </c>
      <c r="F590" s="5">
        <v>45749</v>
      </c>
      <c r="G590">
        <f t="shared" si="18"/>
        <v>1</v>
      </c>
      <c r="H590" t="s">
        <v>31</v>
      </c>
      <c r="I590" t="s">
        <v>114</v>
      </c>
      <c r="J590" s="2">
        <v>988.37</v>
      </c>
      <c r="K590" s="6">
        <v>0.9</v>
      </c>
      <c r="L590" t="s">
        <v>15</v>
      </c>
      <c r="M590" s="3">
        <f t="shared" si="19"/>
        <v>988.37</v>
      </c>
      <c r="N590" s="9" t="str" cm="1">
        <f t="array" ref="N590">_xlfn.IFS(C590&lt;18,"Under 18",C590&lt;36,"18-35",C590&lt;51,"36-50",C590&lt;66,"51-65",C590&gt;=66,"Above 65")</f>
        <v>51-65</v>
      </c>
      <c r="O590" s="6"/>
    </row>
    <row r="591" spans="1:15" x14ac:dyDescent="0.35">
      <c r="A591" t="s">
        <v>1118</v>
      </c>
      <c r="B591" t="s">
        <v>1119</v>
      </c>
      <c r="C591">
        <v>41</v>
      </c>
      <c r="D591" t="s">
        <v>12</v>
      </c>
      <c r="E591" s="5">
        <v>45304</v>
      </c>
      <c r="F591" s="5">
        <v>45317</v>
      </c>
      <c r="G591">
        <f t="shared" si="18"/>
        <v>13</v>
      </c>
      <c r="H591" t="s">
        <v>60</v>
      </c>
      <c r="I591" t="s">
        <v>133</v>
      </c>
      <c r="J591" s="2">
        <v>20871.689999999999</v>
      </c>
      <c r="K591" s="6">
        <v>0.6</v>
      </c>
      <c r="L591" t="s">
        <v>25</v>
      </c>
      <c r="M591" s="3">
        <f t="shared" si="19"/>
        <v>0</v>
      </c>
      <c r="N591" s="9" t="str" cm="1">
        <f t="array" ref="N591">_xlfn.IFS(C591&lt;18,"Under 18",C591&lt;36,"18-35",C591&lt;51,"36-50",C591&lt;66,"51-65",C591&gt;=66,"Above 65")</f>
        <v>36-50</v>
      </c>
      <c r="O591" s="6"/>
    </row>
    <row r="592" spans="1:15" x14ac:dyDescent="0.35">
      <c r="A592" t="s">
        <v>1120</v>
      </c>
      <c r="B592" t="s">
        <v>1121</v>
      </c>
      <c r="C592">
        <v>44</v>
      </c>
      <c r="D592" t="s">
        <v>18</v>
      </c>
      <c r="E592" s="5">
        <v>45926</v>
      </c>
      <c r="F592" s="5">
        <v>45932</v>
      </c>
      <c r="G592">
        <f t="shared" si="18"/>
        <v>6</v>
      </c>
      <c r="H592" t="s">
        <v>70</v>
      </c>
      <c r="I592" t="s">
        <v>157</v>
      </c>
      <c r="J592" s="2">
        <v>14061.87</v>
      </c>
      <c r="K592" s="6">
        <v>0.5</v>
      </c>
      <c r="L592" t="s">
        <v>15</v>
      </c>
      <c r="M592" s="3">
        <f t="shared" si="19"/>
        <v>14061.87</v>
      </c>
      <c r="N592" s="9" t="str" cm="1">
        <f t="array" ref="N592">_xlfn.IFS(C592&lt;18,"Under 18",C592&lt;36,"18-35",C592&lt;51,"36-50",C592&lt;66,"51-65",C592&gt;=66,"Above 65")</f>
        <v>36-50</v>
      </c>
      <c r="O592" s="6"/>
    </row>
    <row r="593" spans="1:15" x14ac:dyDescent="0.35">
      <c r="A593" t="s">
        <v>1122</v>
      </c>
      <c r="B593" t="s">
        <v>1123</v>
      </c>
      <c r="C593">
        <v>74</v>
      </c>
      <c r="D593" t="s">
        <v>12</v>
      </c>
      <c r="E593" s="5">
        <v>45559</v>
      </c>
      <c r="F593" s="5">
        <v>45562</v>
      </c>
      <c r="G593">
        <f t="shared" si="18"/>
        <v>3</v>
      </c>
      <c r="H593" t="s">
        <v>31</v>
      </c>
      <c r="I593" t="s">
        <v>35</v>
      </c>
      <c r="J593" s="2">
        <v>3702.92</v>
      </c>
      <c r="K593" s="6">
        <v>0.7</v>
      </c>
      <c r="L593" t="s">
        <v>20</v>
      </c>
      <c r="M593" s="3">
        <f t="shared" si="19"/>
        <v>0</v>
      </c>
      <c r="N593" s="9" t="str" cm="1">
        <f t="array" ref="N593">_xlfn.IFS(C593&lt;18,"Under 18",C593&lt;36,"18-35",C593&lt;51,"36-50",C593&lt;66,"51-65",C593&gt;=66,"Above 65")</f>
        <v>Above 65</v>
      </c>
      <c r="O593" s="6"/>
    </row>
    <row r="594" spans="1:15" x14ac:dyDescent="0.35">
      <c r="A594" t="s">
        <v>1124</v>
      </c>
      <c r="B594" t="s">
        <v>1125</v>
      </c>
      <c r="C594">
        <v>42</v>
      </c>
      <c r="D594" t="s">
        <v>12</v>
      </c>
      <c r="E594" s="5">
        <v>45382</v>
      </c>
      <c r="F594" s="5">
        <v>45386</v>
      </c>
      <c r="G594">
        <f t="shared" si="18"/>
        <v>4</v>
      </c>
      <c r="H594" t="s">
        <v>13</v>
      </c>
      <c r="I594" t="s">
        <v>102</v>
      </c>
      <c r="J594" s="2">
        <v>6940.9</v>
      </c>
      <c r="K594" s="6">
        <v>0.7</v>
      </c>
      <c r="L594" t="s">
        <v>15</v>
      </c>
      <c r="M594" s="3">
        <f t="shared" si="19"/>
        <v>6940.9</v>
      </c>
      <c r="N594" s="9" t="str" cm="1">
        <f t="array" ref="N594">_xlfn.IFS(C594&lt;18,"Under 18",C594&lt;36,"18-35",C594&lt;51,"36-50",C594&lt;66,"51-65",C594&gt;=66,"Above 65")</f>
        <v>36-50</v>
      </c>
      <c r="O594" s="6"/>
    </row>
    <row r="595" spans="1:15" x14ac:dyDescent="0.35">
      <c r="A595" t="s">
        <v>1126</v>
      </c>
      <c r="B595" t="s">
        <v>941</v>
      </c>
      <c r="C595">
        <v>74</v>
      </c>
      <c r="D595" t="s">
        <v>12</v>
      </c>
      <c r="E595" s="5">
        <v>45849</v>
      </c>
      <c r="F595" s="5">
        <v>45858</v>
      </c>
      <c r="G595">
        <f t="shared" si="18"/>
        <v>9</v>
      </c>
      <c r="H595" t="s">
        <v>13</v>
      </c>
      <c r="I595" t="s">
        <v>19</v>
      </c>
      <c r="J595" s="2">
        <v>25312.2</v>
      </c>
      <c r="K595" s="6">
        <v>0.7</v>
      </c>
      <c r="L595" t="s">
        <v>20</v>
      </c>
      <c r="M595" s="3">
        <f t="shared" si="19"/>
        <v>0</v>
      </c>
      <c r="N595" s="9" t="str" cm="1">
        <f t="array" ref="N595">_xlfn.IFS(C595&lt;18,"Under 18",C595&lt;36,"18-35",C595&lt;51,"36-50",C595&lt;66,"51-65",C595&gt;=66,"Above 65")</f>
        <v>Above 65</v>
      </c>
      <c r="O595" s="6"/>
    </row>
    <row r="596" spans="1:15" x14ac:dyDescent="0.35">
      <c r="A596" t="s">
        <v>1127</v>
      </c>
      <c r="B596" t="s">
        <v>1128</v>
      </c>
      <c r="C596">
        <v>20</v>
      </c>
      <c r="D596" t="s">
        <v>12</v>
      </c>
      <c r="E596" s="5">
        <v>45739</v>
      </c>
      <c r="F596" s="5">
        <v>45742</v>
      </c>
      <c r="G596">
        <f t="shared" si="18"/>
        <v>3</v>
      </c>
      <c r="H596" t="s">
        <v>23</v>
      </c>
      <c r="I596" t="s">
        <v>204</v>
      </c>
      <c r="J596" s="2">
        <v>4859.2700000000004</v>
      </c>
      <c r="K596" s="6">
        <v>0.6</v>
      </c>
      <c r="L596" t="s">
        <v>20</v>
      </c>
      <c r="M596" s="3">
        <f t="shared" si="19"/>
        <v>0</v>
      </c>
      <c r="N596" s="9" t="str" cm="1">
        <f t="array" ref="N596">_xlfn.IFS(C596&lt;18,"Under 18",C596&lt;36,"18-35",C596&lt;51,"36-50",C596&lt;66,"51-65",C596&gt;=66,"Above 65")</f>
        <v>18-35</v>
      </c>
      <c r="O596" s="6"/>
    </row>
    <row r="597" spans="1:15" x14ac:dyDescent="0.35">
      <c r="A597" t="s">
        <v>1129</v>
      </c>
      <c r="B597" t="s">
        <v>1130</v>
      </c>
      <c r="C597">
        <v>7</v>
      </c>
      <c r="D597" t="s">
        <v>18</v>
      </c>
      <c r="E597" s="5">
        <v>45654</v>
      </c>
      <c r="F597" s="5">
        <v>45658</v>
      </c>
      <c r="G597">
        <f t="shared" si="18"/>
        <v>4</v>
      </c>
      <c r="H597" t="s">
        <v>49</v>
      </c>
      <c r="I597" t="s">
        <v>130</v>
      </c>
      <c r="J597" s="2">
        <v>5071.3900000000003</v>
      </c>
      <c r="K597" s="6">
        <v>0.9</v>
      </c>
      <c r="L597" t="s">
        <v>25</v>
      </c>
      <c r="M597" s="3">
        <f t="shared" si="19"/>
        <v>0</v>
      </c>
      <c r="N597" s="9" t="str" cm="1">
        <f t="array" ref="N597">_xlfn.IFS(C597&lt;18,"Under 18",C597&lt;36,"18-35",C597&lt;51,"36-50",C597&lt;66,"51-65",C597&gt;=66,"Above 65")</f>
        <v>Under 18</v>
      </c>
      <c r="O597" s="6"/>
    </row>
    <row r="598" spans="1:15" x14ac:dyDescent="0.35">
      <c r="A598" t="s">
        <v>1131</v>
      </c>
      <c r="B598" t="s">
        <v>1132</v>
      </c>
      <c r="C598">
        <v>46</v>
      </c>
      <c r="D598" t="s">
        <v>18</v>
      </c>
      <c r="E598" s="5">
        <v>45394</v>
      </c>
      <c r="F598" s="5">
        <v>45395</v>
      </c>
      <c r="G598">
        <f t="shared" si="18"/>
        <v>1</v>
      </c>
      <c r="H598" t="s">
        <v>31</v>
      </c>
      <c r="I598" t="s">
        <v>44</v>
      </c>
      <c r="J598" s="2">
        <v>826.69</v>
      </c>
      <c r="K598" s="6">
        <v>0.8</v>
      </c>
      <c r="L598" t="s">
        <v>15</v>
      </c>
      <c r="M598" s="3">
        <f t="shared" si="19"/>
        <v>826.69</v>
      </c>
      <c r="N598" s="9" t="str" cm="1">
        <f t="array" ref="N598">_xlfn.IFS(C598&lt;18,"Under 18",C598&lt;36,"18-35",C598&lt;51,"36-50",C598&lt;66,"51-65",C598&gt;=66,"Above 65")</f>
        <v>36-50</v>
      </c>
      <c r="O598" s="6"/>
    </row>
    <row r="599" spans="1:15" x14ac:dyDescent="0.35">
      <c r="A599" t="s">
        <v>1133</v>
      </c>
      <c r="B599" t="s">
        <v>877</v>
      </c>
      <c r="C599">
        <v>75</v>
      </c>
      <c r="D599" t="s">
        <v>12</v>
      </c>
      <c r="E599" s="5">
        <v>45466</v>
      </c>
      <c r="F599" s="5">
        <v>45469</v>
      </c>
      <c r="G599">
        <f t="shared" si="18"/>
        <v>3</v>
      </c>
      <c r="H599" t="s">
        <v>23</v>
      </c>
      <c r="I599" t="s">
        <v>24</v>
      </c>
      <c r="J599" s="2">
        <v>3573.44</v>
      </c>
      <c r="K599" s="6">
        <v>0.8</v>
      </c>
      <c r="L599" t="s">
        <v>15</v>
      </c>
      <c r="M599" s="3">
        <f t="shared" si="19"/>
        <v>3573.44</v>
      </c>
      <c r="N599" s="9" t="str" cm="1">
        <f t="array" ref="N599">_xlfn.IFS(C599&lt;18,"Under 18",C599&lt;36,"18-35",C599&lt;51,"36-50",C599&lt;66,"51-65",C599&gt;=66,"Above 65")</f>
        <v>Above 65</v>
      </c>
      <c r="O599" s="6"/>
    </row>
    <row r="600" spans="1:15" x14ac:dyDescent="0.35">
      <c r="A600" t="s">
        <v>1134</v>
      </c>
      <c r="B600" t="s">
        <v>1135</v>
      </c>
      <c r="C600">
        <v>17</v>
      </c>
      <c r="D600" t="s">
        <v>18</v>
      </c>
      <c r="E600" s="5">
        <v>45621</v>
      </c>
      <c r="F600" s="5">
        <v>45623</v>
      </c>
      <c r="G600">
        <f t="shared" si="18"/>
        <v>2</v>
      </c>
      <c r="H600" t="s">
        <v>49</v>
      </c>
      <c r="I600" t="s">
        <v>130</v>
      </c>
      <c r="J600" s="2">
        <v>3120.86</v>
      </c>
      <c r="K600" s="6">
        <v>0.7</v>
      </c>
      <c r="L600" t="s">
        <v>15</v>
      </c>
      <c r="M600" s="3">
        <f t="shared" si="19"/>
        <v>3120.86</v>
      </c>
      <c r="N600" s="9" t="str" cm="1">
        <f t="array" ref="N600">_xlfn.IFS(C600&lt;18,"Under 18",C600&lt;36,"18-35",C600&lt;51,"36-50",C600&lt;66,"51-65",C600&gt;=66,"Above 65")</f>
        <v>Under 18</v>
      </c>
      <c r="O600" s="6"/>
    </row>
    <row r="601" spans="1:15" x14ac:dyDescent="0.35">
      <c r="A601" t="s">
        <v>1136</v>
      </c>
      <c r="B601" t="s">
        <v>1137</v>
      </c>
      <c r="C601">
        <v>36</v>
      </c>
      <c r="D601" t="s">
        <v>18</v>
      </c>
      <c r="E601" s="5">
        <v>45741</v>
      </c>
      <c r="F601" s="5">
        <v>45742</v>
      </c>
      <c r="G601">
        <f t="shared" si="18"/>
        <v>1</v>
      </c>
      <c r="H601" t="s">
        <v>23</v>
      </c>
      <c r="I601" t="s">
        <v>221</v>
      </c>
      <c r="J601" s="2">
        <v>1050.82</v>
      </c>
      <c r="K601" s="6">
        <v>0.7</v>
      </c>
      <c r="L601" t="s">
        <v>20</v>
      </c>
      <c r="M601" s="3">
        <f t="shared" si="19"/>
        <v>0</v>
      </c>
      <c r="N601" s="9" t="str" cm="1">
        <f t="array" ref="N601">_xlfn.IFS(C601&lt;18,"Under 18",C601&lt;36,"18-35",C601&lt;51,"36-50",C601&lt;66,"51-65",C601&gt;=66,"Above 65")</f>
        <v>36-50</v>
      </c>
      <c r="O601" s="6"/>
    </row>
    <row r="602" spans="1:15" x14ac:dyDescent="0.35">
      <c r="A602" t="s">
        <v>1138</v>
      </c>
      <c r="B602" t="s">
        <v>1139</v>
      </c>
      <c r="C602">
        <v>58</v>
      </c>
      <c r="D602" t="s">
        <v>18</v>
      </c>
      <c r="E602" s="5">
        <v>45368</v>
      </c>
      <c r="F602" s="5">
        <v>45371</v>
      </c>
      <c r="G602">
        <f t="shared" si="18"/>
        <v>3</v>
      </c>
      <c r="H602" t="s">
        <v>23</v>
      </c>
      <c r="I602" t="s">
        <v>24</v>
      </c>
      <c r="J602" s="2">
        <v>4246.95</v>
      </c>
      <c r="K602" s="6">
        <v>0.7</v>
      </c>
      <c r="L602" t="s">
        <v>25</v>
      </c>
      <c r="M602" s="3">
        <f t="shared" si="19"/>
        <v>0</v>
      </c>
      <c r="N602" s="9" t="str" cm="1">
        <f t="array" ref="N602">_xlfn.IFS(C602&lt;18,"Under 18",C602&lt;36,"18-35",C602&lt;51,"36-50",C602&lt;66,"51-65",C602&gt;=66,"Above 65")</f>
        <v>51-65</v>
      </c>
      <c r="O602" s="6"/>
    </row>
    <row r="603" spans="1:15" x14ac:dyDescent="0.35">
      <c r="A603" t="s">
        <v>1140</v>
      </c>
      <c r="B603" t="s">
        <v>1141</v>
      </c>
      <c r="C603">
        <v>24</v>
      </c>
      <c r="D603" t="s">
        <v>12</v>
      </c>
      <c r="E603" s="5">
        <v>45918</v>
      </c>
      <c r="F603" s="5">
        <v>45921</v>
      </c>
      <c r="G603">
        <f t="shared" si="18"/>
        <v>3</v>
      </c>
      <c r="H603" t="s">
        <v>23</v>
      </c>
      <c r="I603" t="s">
        <v>333</v>
      </c>
      <c r="J603" s="2">
        <v>3111.41</v>
      </c>
      <c r="K603" s="6">
        <v>0.9</v>
      </c>
      <c r="L603" t="s">
        <v>15</v>
      </c>
      <c r="M603" s="3">
        <f t="shared" si="19"/>
        <v>3111.41</v>
      </c>
      <c r="N603" s="9" t="str" cm="1">
        <f t="array" ref="N603">_xlfn.IFS(C603&lt;18,"Under 18",C603&lt;36,"18-35",C603&lt;51,"36-50",C603&lt;66,"51-65",C603&gt;=66,"Above 65")</f>
        <v>18-35</v>
      </c>
      <c r="O603" s="6"/>
    </row>
    <row r="604" spans="1:15" x14ac:dyDescent="0.35">
      <c r="A604" t="s">
        <v>1142</v>
      </c>
      <c r="B604" t="s">
        <v>439</v>
      </c>
      <c r="C604">
        <v>56</v>
      </c>
      <c r="D604" t="s">
        <v>18</v>
      </c>
      <c r="E604" s="5">
        <v>45630</v>
      </c>
      <c r="F604" s="5">
        <v>45635</v>
      </c>
      <c r="G604">
        <f t="shared" si="18"/>
        <v>5</v>
      </c>
      <c r="H604" t="s">
        <v>31</v>
      </c>
      <c r="I604" t="s">
        <v>32</v>
      </c>
      <c r="J604" s="2">
        <v>6980.98</v>
      </c>
      <c r="K604" s="6">
        <v>0.9</v>
      </c>
      <c r="L604" t="s">
        <v>15</v>
      </c>
      <c r="M604" s="3">
        <f t="shared" si="19"/>
        <v>6980.98</v>
      </c>
      <c r="N604" s="9" t="str" cm="1">
        <f t="array" ref="N604">_xlfn.IFS(C604&lt;18,"Under 18",C604&lt;36,"18-35",C604&lt;51,"36-50",C604&lt;66,"51-65",C604&gt;=66,"Above 65")</f>
        <v>51-65</v>
      </c>
      <c r="O604" s="6"/>
    </row>
    <row r="605" spans="1:15" x14ac:dyDescent="0.35">
      <c r="A605" t="s">
        <v>1143</v>
      </c>
      <c r="B605" t="s">
        <v>1144</v>
      </c>
      <c r="C605">
        <v>41</v>
      </c>
      <c r="D605" t="s">
        <v>12</v>
      </c>
      <c r="E605" s="5">
        <v>45330</v>
      </c>
      <c r="F605" s="5">
        <v>45339</v>
      </c>
      <c r="G605">
        <f t="shared" si="18"/>
        <v>9</v>
      </c>
      <c r="H605" t="s">
        <v>70</v>
      </c>
      <c r="I605" t="s">
        <v>194</v>
      </c>
      <c r="J605" s="2">
        <v>11620.41</v>
      </c>
      <c r="K605" s="6">
        <v>1</v>
      </c>
      <c r="L605" t="s">
        <v>15</v>
      </c>
      <c r="M605" s="3">
        <f t="shared" si="19"/>
        <v>11620.41</v>
      </c>
      <c r="N605" s="9" t="str" cm="1">
        <f t="array" ref="N605">_xlfn.IFS(C605&lt;18,"Under 18",C605&lt;36,"18-35",C605&lt;51,"36-50",C605&lt;66,"51-65",C605&gt;=66,"Above 65")</f>
        <v>36-50</v>
      </c>
      <c r="O605" s="6"/>
    </row>
    <row r="606" spans="1:15" x14ac:dyDescent="0.35">
      <c r="A606" t="s">
        <v>1145</v>
      </c>
      <c r="B606" t="s">
        <v>843</v>
      </c>
      <c r="C606">
        <v>50</v>
      </c>
      <c r="D606" t="s">
        <v>18</v>
      </c>
      <c r="E606" s="5">
        <v>45860</v>
      </c>
      <c r="F606" s="5">
        <v>45863</v>
      </c>
      <c r="G606">
        <f t="shared" si="18"/>
        <v>3</v>
      </c>
      <c r="H606" t="s">
        <v>23</v>
      </c>
      <c r="I606" t="s">
        <v>28</v>
      </c>
      <c r="J606" s="2">
        <v>3974.41</v>
      </c>
      <c r="K606" s="6">
        <v>0.5</v>
      </c>
      <c r="L606" t="s">
        <v>15</v>
      </c>
      <c r="M606" s="3">
        <f t="shared" si="19"/>
        <v>3974.41</v>
      </c>
      <c r="N606" s="9" t="str" cm="1">
        <f t="array" ref="N606">_xlfn.IFS(C606&lt;18,"Under 18",C606&lt;36,"18-35",C606&lt;51,"36-50",C606&lt;66,"51-65",C606&gt;=66,"Above 65")</f>
        <v>36-50</v>
      </c>
      <c r="O606" s="6"/>
    </row>
    <row r="607" spans="1:15" x14ac:dyDescent="0.35">
      <c r="A607" t="s">
        <v>1146</v>
      </c>
      <c r="B607" t="s">
        <v>486</v>
      </c>
      <c r="C607">
        <v>72</v>
      </c>
      <c r="D607" t="s">
        <v>12</v>
      </c>
      <c r="E607" s="5">
        <v>45453</v>
      </c>
      <c r="F607" s="5">
        <v>45459</v>
      </c>
      <c r="G607">
        <f t="shared" si="18"/>
        <v>6</v>
      </c>
      <c r="H607" t="s">
        <v>70</v>
      </c>
      <c r="I607" t="s">
        <v>157</v>
      </c>
      <c r="J607" s="2">
        <v>14702.17</v>
      </c>
      <c r="K607" s="6">
        <v>0.8</v>
      </c>
      <c r="L607" t="s">
        <v>20</v>
      </c>
      <c r="M607" s="3">
        <f t="shared" si="19"/>
        <v>0</v>
      </c>
      <c r="N607" s="9" t="str" cm="1">
        <f t="array" ref="N607">_xlfn.IFS(C607&lt;18,"Under 18",C607&lt;36,"18-35",C607&lt;51,"36-50",C607&lt;66,"51-65",C607&gt;=66,"Above 65")</f>
        <v>Above 65</v>
      </c>
      <c r="O607" s="6"/>
    </row>
    <row r="608" spans="1:15" x14ac:dyDescent="0.35">
      <c r="A608" t="s">
        <v>1147</v>
      </c>
      <c r="B608" t="s">
        <v>1148</v>
      </c>
      <c r="C608">
        <v>41</v>
      </c>
      <c r="D608" t="s">
        <v>12</v>
      </c>
      <c r="E608" s="5">
        <v>45795</v>
      </c>
      <c r="F608" s="5">
        <v>45802</v>
      </c>
      <c r="G608">
        <f t="shared" si="18"/>
        <v>7</v>
      </c>
      <c r="H608" t="s">
        <v>13</v>
      </c>
      <c r="I608" t="s">
        <v>165</v>
      </c>
      <c r="J608" s="2">
        <v>17086.830000000002</v>
      </c>
      <c r="K608" s="6">
        <v>0.9</v>
      </c>
      <c r="L608" t="s">
        <v>15</v>
      </c>
      <c r="M608" s="3">
        <f t="shared" si="19"/>
        <v>17086.830000000002</v>
      </c>
      <c r="N608" s="9" t="str" cm="1">
        <f t="array" ref="N608">_xlfn.IFS(C608&lt;18,"Under 18",C608&lt;36,"18-35",C608&lt;51,"36-50",C608&lt;66,"51-65",C608&gt;=66,"Above 65")</f>
        <v>36-50</v>
      </c>
      <c r="O608" s="6"/>
    </row>
    <row r="609" spans="1:15" x14ac:dyDescent="0.35">
      <c r="A609" t="s">
        <v>1149</v>
      </c>
      <c r="B609" t="s">
        <v>820</v>
      </c>
      <c r="C609">
        <v>24</v>
      </c>
      <c r="D609" t="s">
        <v>12</v>
      </c>
      <c r="E609" s="5">
        <v>45304</v>
      </c>
      <c r="F609" s="5">
        <v>45305</v>
      </c>
      <c r="G609">
        <f t="shared" si="18"/>
        <v>1</v>
      </c>
      <c r="H609" t="s">
        <v>23</v>
      </c>
      <c r="I609" t="s">
        <v>82</v>
      </c>
      <c r="J609" s="2">
        <v>867.61</v>
      </c>
      <c r="K609" s="6">
        <v>1</v>
      </c>
      <c r="L609" t="s">
        <v>15</v>
      </c>
      <c r="M609" s="3">
        <f t="shared" si="19"/>
        <v>867.61</v>
      </c>
      <c r="N609" s="9" t="str" cm="1">
        <f t="array" ref="N609">_xlfn.IFS(C609&lt;18,"Under 18",C609&lt;36,"18-35",C609&lt;51,"36-50",C609&lt;66,"51-65",C609&gt;=66,"Above 65")</f>
        <v>18-35</v>
      </c>
      <c r="O609" s="6"/>
    </row>
    <row r="610" spans="1:15" x14ac:dyDescent="0.35">
      <c r="A610" t="s">
        <v>1150</v>
      </c>
      <c r="B610" t="s">
        <v>1151</v>
      </c>
      <c r="C610">
        <v>51</v>
      </c>
      <c r="D610" t="s">
        <v>18</v>
      </c>
      <c r="E610" s="5">
        <v>45764</v>
      </c>
      <c r="F610" s="5">
        <v>45770</v>
      </c>
      <c r="G610">
        <f t="shared" si="18"/>
        <v>6</v>
      </c>
      <c r="H610" t="s">
        <v>31</v>
      </c>
      <c r="I610" t="s">
        <v>32</v>
      </c>
      <c r="J610" s="2">
        <v>4084.48</v>
      </c>
      <c r="K610" s="6">
        <v>0.8</v>
      </c>
      <c r="L610" t="s">
        <v>15</v>
      </c>
      <c r="M610" s="3">
        <f t="shared" si="19"/>
        <v>4084.48</v>
      </c>
      <c r="N610" s="9" t="str" cm="1">
        <f t="array" ref="N610">_xlfn.IFS(C610&lt;18,"Under 18",C610&lt;36,"18-35",C610&lt;51,"36-50",C610&lt;66,"51-65",C610&gt;=66,"Above 65")</f>
        <v>51-65</v>
      </c>
      <c r="O610" s="6"/>
    </row>
    <row r="611" spans="1:15" x14ac:dyDescent="0.35">
      <c r="A611" t="s">
        <v>1152</v>
      </c>
      <c r="B611" t="s">
        <v>1153</v>
      </c>
      <c r="C611">
        <v>84</v>
      </c>
      <c r="D611" t="s">
        <v>18</v>
      </c>
      <c r="E611" s="5">
        <v>45865</v>
      </c>
      <c r="F611" s="5">
        <v>45866</v>
      </c>
      <c r="G611">
        <f t="shared" si="18"/>
        <v>1</v>
      </c>
      <c r="H611" t="s">
        <v>31</v>
      </c>
      <c r="I611" t="s">
        <v>35</v>
      </c>
      <c r="J611" s="2">
        <v>1290.53</v>
      </c>
      <c r="K611" s="6">
        <v>0.9</v>
      </c>
      <c r="L611" t="s">
        <v>15</v>
      </c>
      <c r="M611" s="3">
        <f t="shared" si="19"/>
        <v>1290.53</v>
      </c>
      <c r="N611" s="9" t="str" cm="1">
        <f t="array" ref="N611">_xlfn.IFS(C611&lt;18,"Under 18",C611&lt;36,"18-35",C611&lt;51,"36-50",C611&lt;66,"51-65",C611&gt;=66,"Above 65")</f>
        <v>Above 65</v>
      </c>
      <c r="O611" s="6"/>
    </row>
    <row r="612" spans="1:15" x14ac:dyDescent="0.35">
      <c r="A612" t="s">
        <v>1154</v>
      </c>
      <c r="B612" t="s">
        <v>721</v>
      </c>
      <c r="C612">
        <v>3</v>
      </c>
      <c r="D612" t="s">
        <v>18</v>
      </c>
      <c r="E612" s="5">
        <v>45643</v>
      </c>
      <c r="F612" s="5">
        <v>45647</v>
      </c>
      <c r="G612">
        <f t="shared" si="18"/>
        <v>4</v>
      </c>
      <c r="H612" t="s">
        <v>49</v>
      </c>
      <c r="I612" t="s">
        <v>123</v>
      </c>
      <c r="J612" s="2">
        <v>3707.94</v>
      </c>
      <c r="K612" s="6">
        <v>0.9</v>
      </c>
      <c r="L612" t="s">
        <v>15</v>
      </c>
      <c r="M612" s="3">
        <f t="shared" si="19"/>
        <v>3707.94</v>
      </c>
      <c r="N612" s="9" t="str" cm="1">
        <f t="array" ref="N612">_xlfn.IFS(C612&lt;18,"Under 18",C612&lt;36,"18-35",C612&lt;51,"36-50",C612&lt;66,"51-65",C612&gt;=66,"Above 65")</f>
        <v>Under 18</v>
      </c>
      <c r="O612" s="6"/>
    </row>
    <row r="613" spans="1:15" x14ac:dyDescent="0.35">
      <c r="A613" t="s">
        <v>1155</v>
      </c>
      <c r="B613" t="s">
        <v>1156</v>
      </c>
      <c r="C613">
        <v>57</v>
      </c>
      <c r="D613" t="s">
        <v>12</v>
      </c>
      <c r="E613" s="5">
        <v>45779</v>
      </c>
      <c r="F613" s="5">
        <v>45788</v>
      </c>
      <c r="G613">
        <f t="shared" si="18"/>
        <v>9</v>
      </c>
      <c r="H613" t="s">
        <v>70</v>
      </c>
      <c r="I613" t="s">
        <v>71</v>
      </c>
      <c r="J613" s="2">
        <v>15346.13</v>
      </c>
      <c r="K613" s="6">
        <v>0.8</v>
      </c>
      <c r="L613" t="s">
        <v>15</v>
      </c>
      <c r="M613" s="3">
        <f t="shared" si="19"/>
        <v>15346.13</v>
      </c>
      <c r="N613" s="9" t="str" cm="1">
        <f t="array" ref="N613">_xlfn.IFS(C613&lt;18,"Under 18",C613&lt;36,"18-35",C613&lt;51,"36-50",C613&lt;66,"51-65",C613&gt;=66,"Above 65")</f>
        <v>51-65</v>
      </c>
      <c r="O613" s="6"/>
    </row>
    <row r="614" spans="1:15" x14ac:dyDescent="0.35">
      <c r="A614" t="s">
        <v>1157</v>
      </c>
      <c r="B614" t="s">
        <v>1158</v>
      </c>
      <c r="C614">
        <v>45</v>
      </c>
      <c r="D614" t="s">
        <v>18</v>
      </c>
      <c r="E614" s="5">
        <v>45749</v>
      </c>
      <c r="F614" s="5">
        <v>45754</v>
      </c>
      <c r="G614">
        <f t="shared" si="18"/>
        <v>5</v>
      </c>
      <c r="H614" t="s">
        <v>31</v>
      </c>
      <c r="I614" t="s">
        <v>53</v>
      </c>
      <c r="J614" s="2">
        <v>4821.37</v>
      </c>
      <c r="K614" s="6">
        <v>0.8</v>
      </c>
      <c r="L614" t="s">
        <v>15</v>
      </c>
      <c r="M614" s="3">
        <f t="shared" si="19"/>
        <v>4821.37</v>
      </c>
      <c r="N614" s="9" t="str" cm="1">
        <f t="array" ref="N614">_xlfn.IFS(C614&lt;18,"Under 18",C614&lt;36,"18-35",C614&lt;51,"36-50",C614&lt;66,"51-65",C614&gt;=66,"Above 65")</f>
        <v>36-50</v>
      </c>
      <c r="O614" s="6"/>
    </row>
    <row r="615" spans="1:15" x14ac:dyDescent="0.35">
      <c r="A615" t="s">
        <v>1159</v>
      </c>
      <c r="B615" t="s">
        <v>1160</v>
      </c>
      <c r="C615">
        <v>69</v>
      </c>
      <c r="D615" t="s">
        <v>12</v>
      </c>
      <c r="E615" s="5">
        <v>45894</v>
      </c>
      <c r="F615" s="5">
        <v>45901</v>
      </c>
      <c r="G615">
        <f t="shared" si="18"/>
        <v>7</v>
      </c>
      <c r="H615" t="s">
        <v>13</v>
      </c>
      <c r="I615" t="s">
        <v>102</v>
      </c>
      <c r="J615" s="2">
        <v>15787.69</v>
      </c>
      <c r="K615" s="6">
        <v>1</v>
      </c>
      <c r="L615" t="s">
        <v>15</v>
      </c>
      <c r="M615" s="3">
        <f t="shared" si="19"/>
        <v>15787.69</v>
      </c>
      <c r="N615" s="9" t="str" cm="1">
        <f t="array" ref="N615">_xlfn.IFS(C615&lt;18,"Under 18",C615&lt;36,"18-35",C615&lt;51,"36-50",C615&lt;66,"51-65",C615&gt;=66,"Above 65")</f>
        <v>Above 65</v>
      </c>
      <c r="O615" s="6"/>
    </row>
    <row r="616" spans="1:15" x14ac:dyDescent="0.35">
      <c r="A616" t="s">
        <v>1161</v>
      </c>
      <c r="B616" t="s">
        <v>1095</v>
      </c>
      <c r="C616">
        <v>14</v>
      </c>
      <c r="D616" t="s">
        <v>18</v>
      </c>
      <c r="E616" s="5">
        <v>45923</v>
      </c>
      <c r="F616" s="5">
        <v>45926</v>
      </c>
      <c r="G616">
        <f t="shared" si="18"/>
        <v>3</v>
      </c>
      <c r="H616" t="s">
        <v>49</v>
      </c>
      <c r="I616" t="s">
        <v>120</v>
      </c>
      <c r="J616" s="2">
        <v>5118.0600000000004</v>
      </c>
      <c r="K616" s="6">
        <v>0.8</v>
      </c>
      <c r="L616" t="s">
        <v>15</v>
      </c>
      <c r="M616" s="3">
        <f t="shared" si="19"/>
        <v>5118.0600000000004</v>
      </c>
      <c r="N616" s="9" t="str" cm="1">
        <f t="array" ref="N616">_xlfn.IFS(C616&lt;18,"Under 18",C616&lt;36,"18-35",C616&lt;51,"36-50",C616&lt;66,"51-65",C616&gt;=66,"Above 65")</f>
        <v>Under 18</v>
      </c>
      <c r="O616" s="6"/>
    </row>
    <row r="617" spans="1:15" x14ac:dyDescent="0.35">
      <c r="A617" t="s">
        <v>1162</v>
      </c>
      <c r="B617" t="s">
        <v>1163</v>
      </c>
      <c r="C617">
        <v>36</v>
      </c>
      <c r="D617" t="s">
        <v>18</v>
      </c>
      <c r="E617" s="5">
        <v>45643</v>
      </c>
      <c r="F617" s="5">
        <v>45644</v>
      </c>
      <c r="G617">
        <f t="shared" si="18"/>
        <v>1</v>
      </c>
      <c r="H617" t="s">
        <v>23</v>
      </c>
      <c r="I617" t="s">
        <v>41</v>
      </c>
      <c r="J617" s="2">
        <v>1184.98</v>
      </c>
      <c r="K617" s="6">
        <v>0.8</v>
      </c>
      <c r="L617" t="s">
        <v>15</v>
      </c>
      <c r="M617" s="3">
        <f t="shared" si="19"/>
        <v>1184.98</v>
      </c>
      <c r="N617" s="9" t="str" cm="1">
        <f t="array" ref="N617">_xlfn.IFS(C617&lt;18,"Under 18",C617&lt;36,"18-35",C617&lt;51,"36-50",C617&lt;66,"51-65",C617&gt;=66,"Above 65")</f>
        <v>36-50</v>
      </c>
      <c r="O617" s="6"/>
    </row>
    <row r="618" spans="1:15" x14ac:dyDescent="0.35">
      <c r="A618" t="s">
        <v>1164</v>
      </c>
      <c r="B618" t="s">
        <v>1165</v>
      </c>
      <c r="C618">
        <v>16</v>
      </c>
      <c r="D618" t="s">
        <v>18</v>
      </c>
      <c r="E618" s="5">
        <v>45317</v>
      </c>
      <c r="F618" s="5">
        <v>45320</v>
      </c>
      <c r="G618">
        <f t="shared" si="18"/>
        <v>3</v>
      </c>
      <c r="H618" t="s">
        <v>49</v>
      </c>
      <c r="I618" t="s">
        <v>378</v>
      </c>
      <c r="J618" s="2">
        <v>2558.2800000000002</v>
      </c>
      <c r="K618" s="6">
        <v>0.9</v>
      </c>
      <c r="L618" t="s">
        <v>15</v>
      </c>
      <c r="M618" s="3">
        <f t="shared" si="19"/>
        <v>2558.2800000000002</v>
      </c>
      <c r="N618" s="9" t="str" cm="1">
        <f t="array" ref="N618">_xlfn.IFS(C618&lt;18,"Under 18",C618&lt;36,"18-35",C618&lt;51,"36-50",C618&lt;66,"51-65",C618&gt;=66,"Above 65")</f>
        <v>Under 18</v>
      </c>
      <c r="O618" s="6"/>
    </row>
    <row r="619" spans="1:15" x14ac:dyDescent="0.35">
      <c r="A619" t="s">
        <v>1166</v>
      </c>
      <c r="B619" t="s">
        <v>1167</v>
      </c>
      <c r="C619">
        <v>76</v>
      </c>
      <c r="D619" t="s">
        <v>12</v>
      </c>
      <c r="E619" s="5">
        <v>45670</v>
      </c>
      <c r="F619" s="5">
        <v>45673</v>
      </c>
      <c r="G619">
        <f t="shared" si="18"/>
        <v>3</v>
      </c>
      <c r="H619" t="s">
        <v>13</v>
      </c>
      <c r="I619" t="s">
        <v>111</v>
      </c>
      <c r="J619" s="2">
        <v>3998.34</v>
      </c>
      <c r="K619" s="6">
        <v>1</v>
      </c>
      <c r="L619" t="s">
        <v>15</v>
      </c>
      <c r="M619" s="3">
        <f t="shared" si="19"/>
        <v>3998.34</v>
      </c>
      <c r="N619" s="9" t="str" cm="1">
        <f t="array" ref="N619">_xlfn.IFS(C619&lt;18,"Under 18",C619&lt;36,"18-35",C619&lt;51,"36-50",C619&lt;66,"51-65",C619&gt;=66,"Above 65")</f>
        <v>Above 65</v>
      </c>
      <c r="O619" s="6"/>
    </row>
    <row r="620" spans="1:15" x14ac:dyDescent="0.35">
      <c r="A620" t="s">
        <v>1168</v>
      </c>
      <c r="B620" t="s">
        <v>229</v>
      </c>
      <c r="C620">
        <v>68</v>
      </c>
      <c r="D620" t="s">
        <v>18</v>
      </c>
      <c r="E620" s="5">
        <v>45626</v>
      </c>
      <c r="F620" s="5">
        <v>45629</v>
      </c>
      <c r="G620">
        <f t="shared" si="18"/>
        <v>3</v>
      </c>
      <c r="H620" t="s">
        <v>60</v>
      </c>
      <c r="I620" t="s">
        <v>74</v>
      </c>
      <c r="J620" s="2">
        <v>4286.6400000000003</v>
      </c>
      <c r="K620" s="6">
        <v>0.7</v>
      </c>
      <c r="L620" t="s">
        <v>20</v>
      </c>
      <c r="M620" s="3">
        <f t="shared" si="19"/>
        <v>0</v>
      </c>
      <c r="N620" s="9" t="str" cm="1">
        <f t="array" ref="N620">_xlfn.IFS(C620&lt;18,"Under 18",C620&lt;36,"18-35",C620&lt;51,"36-50",C620&lt;66,"51-65",C620&gt;=66,"Above 65")</f>
        <v>Above 65</v>
      </c>
      <c r="O620" s="6"/>
    </row>
    <row r="621" spans="1:15" x14ac:dyDescent="0.35">
      <c r="A621" t="s">
        <v>1169</v>
      </c>
      <c r="B621" t="s">
        <v>895</v>
      </c>
      <c r="C621">
        <v>73</v>
      </c>
      <c r="D621" t="s">
        <v>18</v>
      </c>
      <c r="E621" s="5">
        <v>45956</v>
      </c>
      <c r="F621" s="5">
        <v>45965</v>
      </c>
      <c r="G621">
        <f t="shared" si="18"/>
        <v>9</v>
      </c>
      <c r="H621" t="s">
        <v>13</v>
      </c>
      <c r="I621" t="s">
        <v>38</v>
      </c>
      <c r="J621" s="2">
        <v>21392.04</v>
      </c>
      <c r="K621" s="6">
        <v>0.8</v>
      </c>
      <c r="L621" t="s">
        <v>15</v>
      </c>
      <c r="M621" s="3">
        <f t="shared" si="19"/>
        <v>21392.04</v>
      </c>
      <c r="N621" s="9" t="str" cm="1">
        <f t="array" ref="N621">_xlfn.IFS(C621&lt;18,"Under 18",C621&lt;36,"18-35",C621&lt;51,"36-50",C621&lt;66,"51-65",C621&gt;=66,"Above 65")</f>
        <v>Above 65</v>
      </c>
      <c r="O621" s="6"/>
    </row>
    <row r="622" spans="1:15" x14ac:dyDescent="0.35">
      <c r="A622" t="s">
        <v>1170</v>
      </c>
      <c r="B622" t="s">
        <v>1171</v>
      </c>
      <c r="C622">
        <v>37</v>
      </c>
      <c r="D622" t="s">
        <v>12</v>
      </c>
      <c r="E622" s="5">
        <v>45983</v>
      </c>
      <c r="F622" s="5">
        <v>45985</v>
      </c>
      <c r="G622">
        <f t="shared" si="18"/>
        <v>2</v>
      </c>
      <c r="H622" t="s">
        <v>23</v>
      </c>
      <c r="I622" t="s">
        <v>41</v>
      </c>
      <c r="J622" s="2">
        <v>3201.39</v>
      </c>
      <c r="K622" s="6">
        <v>0.8</v>
      </c>
      <c r="L622" t="s">
        <v>15</v>
      </c>
      <c r="M622" s="3">
        <f t="shared" si="19"/>
        <v>3201.39</v>
      </c>
      <c r="N622" s="9" t="str" cm="1">
        <f t="array" ref="N622">_xlfn.IFS(C622&lt;18,"Under 18",C622&lt;36,"18-35",C622&lt;51,"36-50",C622&lt;66,"51-65",C622&gt;=66,"Above 65")</f>
        <v>36-50</v>
      </c>
      <c r="O622" s="6"/>
    </row>
    <row r="623" spans="1:15" x14ac:dyDescent="0.35">
      <c r="A623" t="s">
        <v>1172</v>
      </c>
      <c r="B623" t="s">
        <v>799</v>
      </c>
      <c r="C623">
        <v>11</v>
      </c>
      <c r="D623" t="s">
        <v>12</v>
      </c>
      <c r="E623" s="5">
        <v>45501</v>
      </c>
      <c r="F623" s="5">
        <v>45503</v>
      </c>
      <c r="G623">
        <f t="shared" si="18"/>
        <v>2</v>
      </c>
      <c r="H623" t="s">
        <v>49</v>
      </c>
      <c r="I623" t="s">
        <v>120</v>
      </c>
      <c r="J623" s="2">
        <v>3300.07</v>
      </c>
      <c r="K623" s="6">
        <v>1</v>
      </c>
      <c r="L623" t="s">
        <v>15</v>
      </c>
      <c r="M623" s="3">
        <f t="shared" si="19"/>
        <v>3300.07</v>
      </c>
      <c r="N623" s="9" t="str" cm="1">
        <f t="array" ref="N623">_xlfn.IFS(C623&lt;18,"Under 18",C623&lt;36,"18-35",C623&lt;51,"36-50",C623&lt;66,"51-65",C623&gt;=66,"Above 65")</f>
        <v>Under 18</v>
      </c>
      <c r="O623" s="6"/>
    </row>
    <row r="624" spans="1:15" x14ac:dyDescent="0.35">
      <c r="A624" t="s">
        <v>1173</v>
      </c>
      <c r="B624" t="s">
        <v>1174</v>
      </c>
      <c r="C624">
        <v>7</v>
      </c>
      <c r="D624" t="s">
        <v>12</v>
      </c>
      <c r="E624" s="5">
        <v>45812</v>
      </c>
      <c r="F624" s="5">
        <v>45813</v>
      </c>
      <c r="G624">
        <f t="shared" si="18"/>
        <v>1</v>
      </c>
      <c r="H624" t="s">
        <v>49</v>
      </c>
      <c r="I624" t="s">
        <v>123</v>
      </c>
      <c r="J624" s="2">
        <v>784.49</v>
      </c>
      <c r="K624" s="6">
        <v>0.9</v>
      </c>
      <c r="L624" t="s">
        <v>15</v>
      </c>
      <c r="M624" s="3">
        <f t="shared" si="19"/>
        <v>784.49</v>
      </c>
      <c r="N624" s="9" t="str" cm="1">
        <f t="array" ref="N624">_xlfn.IFS(C624&lt;18,"Under 18",C624&lt;36,"18-35",C624&lt;51,"36-50",C624&lt;66,"51-65",C624&gt;=66,"Above 65")</f>
        <v>Under 18</v>
      </c>
      <c r="O624" s="6"/>
    </row>
    <row r="625" spans="1:15" x14ac:dyDescent="0.35">
      <c r="A625" t="s">
        <v>1175</v>
      </c>
      <c r="B625" t="s">
        <v>1176</v>
      </c>
      <c r="C625">
        <v>26</v>
      </c>
      <c r="D625" t="s">
        <v>12</v>
      </c>
      <c r="E625" s="5">
        <v>45695</v>
      </c>
      <c r="F625" s="5">
        <v>45696</v>
      </c>
      <c r="G625">
        <f t="shared" si="18"/>
        <v>1</v>
      </c>
      <c r="H625" t="s">
        <v>31</v>
      </c>
      <c r="I625" t="s">
        <v>44</v>
      </c>
      <c r="J625" s="2">
        <v>1170.5999999999999</v>
      </c>
      <c r="K625" s="6">
        <v>0.8</v>
      </c>
      <c r="L625" t="s">
        <v>15</v>
      </c>
      <c r="M625" s="3">
        <f t="shared" si="19"/>
        <v>1170.5999999999999</v>
      </c>
      <c r="N625" s="9" t="str" cm="1">
        <f t="array" ref="N625">_xlfn.IFS(C625&lt;18,"Under 18",C625&lt;36,"18-35",C625&lt;51,"36-50",C625&lt;66,"51-65",C625&gt;=66,"Above 65")</f>
        <v>18-35</v>
      </c>
      <c r="O625" s="6"/>
    </row>
    <row r="626" spans="1:15" x14ac:dyDescent="0.35">
      <c r="A626" t="s">
        <v>1177</v>
      </c>
      <c r="B626" t="s">
        <v>369</v>
      </c>
      <c r="C626">
        <v>61</v>
      </c>
      <c r="D626" t="s">
        <v>12</v>
      </c>
      <c r="E626" s="5">
        <v>45600</v>
      </c>
      <c r="F626" s="5">
        <v>45604</v>
      </c>
      <c r="G626">
        <f t="shared" si="18"/>
        <v>4</v>
      </c>
      <c r="H626" t="s">
        <v>13</v>
      </c>
      <c r="I626" t="s">
        <v>14</v>
      </c>
      <c r="J626" s="2">
        <v>11503.8</v>
      </c>
      <c r="K626" s="6">
        <v>0.6</v>
      </c>
      <c r="L626" t="s">
        <v>25</v>
      </c>
      <c r="M626" s="3">
        <f t="shared" si="19"/>
        <v>0</v>
      </c>
      <c r="N626" s="9" t="str" cm="1">
        <f t="array" ref="N626">_xlfn.IFS(C626&lt;18,"Under 18",C626&lt;36,"18-35",C626&lt;51,"36-50",C626&lt;66,"51-65",C626&gt;=66,"Above 65")</f>
        <v>51-65</v>
      </c>
      <c r="O626" s="6"/>
    </row>
    <row r="627" spans="1:15" x14ac:dyDescent="0.35">
      <c r="A627" t="s">
        <v>1178</v>
      </c>
      <c r="B627" t="s">
        <v>404</v>
      </c>
      <c r="C627">
        <v>8</v>
      </c>
      <c r="D627" t="s">
        <v>18</v>
      </c>
      <c r="E627" s="5">
        <v>45836</v>
      </c>
      <c r="F627" s="5">
        <v>45838</v>
      </c>
      <c r="G627">
        <f t="shared" si="18"/>
        <v>2</v>
      </c>
      <c r="H627" t="s">
        <v>49</v>
      </c>
      <c r="I627" t="s">
        <v>130</v>
      </c>
      <c r="J627" s="2">
        <v>1522.86</v>
      </c>
      <c r="K627" s="6">
        <v>0.9</v>
      </c>
      <c r="L627" t="s">
        <v>20</v>
      </c>
      <c r="M627" s="3">
        <f t="shared" si="19"/>
        <v>0</v>
      </c>
      <c r="N627" s="9" t="str" cm="1">
        <f t="array" ref="N627">_xlfn.IFS(C627&lt;18,"Under 18",C627&lt;36,"18-35",C627&lt;51,"36-50",C627&lt;66,"51-65",C627&gt;=66,"Above 65")</f>
        <v>Under 18</v>
      </c>
      <c r="O627" s="6"/>
    </row>
    <row r="628" spans="1:15" x14ac:dyDescent="0.35">
      <c r="A628" t="s">
        <v>1179</v>
      </c>
      <c r="B628" t="s">
        <v>270</v>
      </c>
      <c r="C628">
        <v>78</v>
      </c>
      <c r="D628" t="s">
        <v>18</v>
      </c>
      <c r="E628" s="5">
        <v>45705</v>
      </c>
      <c r="F628" s="5">
        <v>45715</v>
      </c>
      <c r="G628">
        <f t="shared" si="18"/>
        <v>10</v>
      </c>
      <c r="H628" t="s">
        <v>70</v>
      </c>
      <c r="I628" t="s">
        <v>94</v>
      </c>
      <c r="J628" s="2">
        <v>22757.119999999999</v>
      </c>
      <c r="K628" s="6">
        <v>0.9</v>
      </c>
      <c r="L628" t="s">
        <v>15</v>
      </c>
      <c r="M628" s="3">
        <f t="shared" si="19"/>
        <v>22757.119999999999</v>
      </c>
      <c r="N628" s="9" t="str" cm="1">
        <f t="array" ref="N628">_xlfn.IFS(C628&lt;18,"Under 18",C628&lt;36,"18-35",C628&lt;51,"36-50",C628&lt;66,"51-65",C628&gt;=66,"Above 65")</f>
        <v>Above 65</v>
      </c>
      <c r="O628" s="6"/>
    </row>
    <row r="629" spans="1:15" x14ac:dyDescent="0.35">
      <c r="A629" t="s">
        <v>1180</v>
      </c>
      <c r="B629" t="s">
        <v>975</v>
      </c>
      <c r="C629">
        <v>11</v>
      </c>
      <c r="D629" t="s">
        <v>12</v>
      </c>
      <c r="E629" s="5">
        <v>45536</v>
      </c>
      <c r="F629" s="5">
        <v>45541</v>
      </c>
      <c r="G629">
        <f t="shared" si="18"/>
        <v>5</v>
      </c>
      <c r="H629" t="s">
        <v>49</v>
      </c>
      <c r="I629" t="s">
        <v>123</v>
      </c>
      <c r="J629" s="2">
        <v>3197.15</v>
      </c>
      <c r="K629" s="6">
        <v>0.7</v>
      </c>
      <c r="L629" t="s">
        <v>25</v>
      </c>
      <c r="M629" s="3">
        <f t="shared" si="19"/>
        <v>0</v>
      </c>
      <c r="N629" s="9" t="str" cm="1">
        <f t="array" ref="N629">_xlfn.IFS(C629&lt;18,"Under 18",C629&lt;36,"18-35",C629&lt;51,"36-50",C629&lt;66,"51-65",C629&gt;=66,"Above 65")</f>
        <v>Under 18</v>
      </c>
      <c r="O629" s="6"/>
    </row>
    <row r="630" spans="1:15" x14ac:dyDescent="0.35">
      <c r="A630" t="s">
        <v>1181</v>
      </c>
      <c r="B630" t="s">
        <v>1182</v>
      </c>
      <c r="C630">
        <v>73</v>
      </c>
      <c r="D630" t="s">
        <v>18</v>
      </c>
      <c r="E630" s="5">
        <v>45441</v>
      </c>
      <c r="F630" s="5">
        <v>45443</v>
      </c>
      <c r="G630">
        <f t="shared" si="18"/>
        <v>2</v>
      </c>
      <c r="H630" t="s">
        <v>31</v>
      </c>
      <c r="I630" t="s">
        <v>32</v>
      </c>
      <c r="J630" s="2">
        <v>2710.85</v>
      </c>
      <c r="K630" s="6">
        <v>0.6</v>
      </c>
      <c r="L630" t="s">
        <v>20</v>
      </c>
      <c r="M630" s="3">
        <f t="shared" si="19"/>
        <v>0</v>
      </c>
      <c r="N630" s="9" t="str" cm="1">
        <f t="array" ref="N630">_xlfn.IFS(C630&lt;18,"Under 18",C630&lt;36,"18-35",C630&lt;51,"36-50",C630&lt;66,"51-65",C630&gt;=66,"Above 65")</f>
        <v>Above 65</v>
      </c>
      <c r="O630" s="6"/>
    </row>
    <row r="631" spans="1:15" x14ac:dyDescent="0.35">
      <c r="A631" t="s">
        <v>1183</v>
      </c>
      <c r="B631" t="s">
        <v>1184</v>
      </c>
      <c r="C631">
        <v>84</v>
      </c>
      <c r="D631" t="s">
        <v>18</v>
      </c>
      <c r="E631" s="5">
        <v>45918</v>
      </c>
      <c r="F631" s="5">
        <v>45920</v>
      </c>
      <c r="G631">
        <f t="shared" si="18"/>
        <v>2</v>
      </c>
      <c r="H631" t="s">
        <v>23</v>
      </c>
      <c r="I631" t="s">
        <v>204</v>
      </c>
      <c r="J631" s="2">
        <v>4532.09</v>
      </c>
      <c r="K631" s="6">
        <v>0.9</v>
      </c>
      <c r="L631" t="s">
        <v>20</v>
      </c>
      <c r="M631" s="3">
        <f t="shared" si="19"/>
        <v>0</v>
      </c>
      <c r="N631" s="9" t="str" cm="1">
        <f t="array" ref="N631">_xlfn.IFS(C631&lt;18,"Under 18",C631&lt;36,"18-35",C631&lt;51,"36-50",C631&lt;66,"51-65",C631&gt;=66,"Above 65")</f>
        <v>Above 65</v>
      </c>
      <c r="O631" s="6"/>
    </row>
    <row r="632" spans="1:15" x14ac:dyDescent="0.35">
      <c r="A632" t="s">
        <v>1185</v>
      </c>
      <c r="B632" t="s">
        <v>1186</v>
      </c>
      <c r="C632">
        <v>43</v>
      </c>
      <c r="D632" t="s">
        <v>12</v>
      </c>
      <c r="E632" s="5">
        <v>45857</v>
      </c>
      <c r="F632" s="5">
        <v>45860</v>
      </c>
      <c r="G632">
        <f t="shared" si="18"/>
        <v>3</v>
      </c>
      <c r="H632" t="s">
        <v>60</v>
      </c>
      <c r="I632" t="s">
        <v>61</v>
      </c>
      <c r="J632" s="2">
        <v>4972.62</v>
      </c>
      <c r="K632" s="6">
        <v>0.8</v>
      </c>
      <c r="L632" t="s">
        <v>15</v>
      </c>
      <c r="M632" s="3">
        <f t="shared" si="19"/>
        <v>4972.62</v>
      </c>
      <c r="N632" s="9" t="str" cm="1">
        <f t="array" ref="N632">_xlfn.IFS(C632&lt;18,"Under 18",C632&lt;36,"18-35",C632&lt;51,"36-50",C632&lt;66,"51-65",C632&gt;=66,"Above 65")</f>
        <v>36-50</v>
      </c>
      <c r="O632" s="6"/>
    </row>
    <row r="633" spans="1:15" x14ac:dyDescent="0.35">
      <c r="A633" t="s">
        <v>1187</v>
      </c>
      <c r="B633" t="s">
        <v>874</v>
      </c>
      <c r="C633">
        <v>1</v>
      </c>
      <c r="D633" t="s">
        <v>12</v>
      </c>
      <c r="E633" s="5">
        <v>45609</v>
      </c>
      <c r="F633" s="5">
        <v>45611</v>
      </c>
      <c r="G633">
        <f t="shared" si="18"/>
        <v>2</v>
      </c>
      <c r="H633" t="s">
        <v>49</v>
      </c>
      <c r="I633" t="s">
        <v>378</v>
      </c>
      <c r="J633" s="2">
        <v>3235.05</v>
      </c>
      <c r="K633" s="6">
        <v>0.7</v>
      </c>
      <c r="L633" t="s">
        <v>15</v>
      </c>
      <c r="M633" s="3">
        <f t="shared" si="19"/>
        <v>3235.05</v>
      </c>
      <c r="N633" s="9" t="str" cm="1">
        <f t="array" ref="N633">_xlfn.IFS(C633&lt;18,"Under 18",C633&lt;36,"18-35",C633&lt;51,"36-50",C633&lt;66,"51-65",C633&gt;=66,"Above 65")</f>
        <v>Under 18</v>
      </c>
      <c r="O633" s="6"/>
    </row>
    <row r="634" spans="1:15" x14ac:dyDescent="0.35">
      <c r="A634" t="s">
        <v>1188</v>
      </c>
      <c r="B634" t="s">
        <v>1189</v>
      </c>
      <c r="C634">
        <v>49</v>
      </c>
      <c r="D634" t="s">
        <v>18</v>
      </c>
      <c r="E634" s="5">
        <v>45937</v>
      </c>
      <c r="F634" s="5">
        <v>45939</v>
      </c>
      <c r="G634">
        <f t="shared" si="18"/>
        <v>2</v>
      </c>
      <c r="H634" t="s">
        <v>31</v>
      </c>
      <c r="I634" t="s">
        <v>114</v>
      </c>
      <c r="J634" s="2">
        <v>2401.17</v>
      </c>
      <c r="K634" s="6">
        <v>0.9</v>
      </c>
      <c r="L634" t="s">
        <v>20</v>
      </c>
      <c r="M634" s="3">
        <f t="shared" si="19"/>
        <v>0</v>
      </c>
      <c r="N634" s="9" t="str" cm="1">
        <f t="array" ref="N634">_xlfn.IFS(C634&lt;18,"Under 18",C634&lt;36,"18-35",C634&lt;51,"36-50",C634&lt;66,"51-65",C634&gt;=66,"Above 65")</f>
        <v>36-50</v>
      </c>
      <c r="O634" s="6"/>
    </row>
    <row r="635" spans="1:15" x14ac:dyDescent="0.35">
      <c r="A635" t="s">
        <v>1190</v>
      </c>
      <c r="B635" t="s">
        <v>1191</v>
      </c>
      <c r="C635">
        <v>51</v>
      </c>
      <c r="D635" t="s">
        <v>18</v>
      </c>
      <c r="E635" s="5">
        <v>45419</v>
      </c>
      <c r="F635" s="5">
        <v>45431</v>
      </c>
      <c r="G635">
        <f t="shared" si="18"/>
        <v>12</v>
      </c>
      <c r="H635" t="s">
        <v>60</v>
      </c>
      <c r="I635" t="s">
        <v>142</v>
      </c>
      <c r="J635" s="2">
        <v>33210.050000000003</v>
      </c>
      <c r="K635" s="6">
        <v>0.8</v>
      </c>
      <c r="L635" t="s">
        <v>20</v>
      </c>
      <c r="M635" s="3">
        <f t="shared" si="19"/>
        <v>0</v>
      </c>
      <c r="N635" s="9" t="str" cm="1">
        <f t="array" ref="N635">_xlfn.IFS(C635&lt;18,"Under 18",C635&lt;36,"18-35",C635&lt;51,"36-50",C635&lt;66,"51-65",C635&gt;=66,"Above 65")</f>
        <v>51-65</v>
      </c>
      <c r="O635" s="6"/>
    </row>
    <row r="636" spans="1:15" x14ac:dyDescent="0.35">
      <c r="A636" t="s">
        <v>1192</v>
      </c>
      <c r="B636" t="s">
        <v>893</v>
      </c>
      <c r="C636">
        <v>73</v>
      </c>
      <c r="D636" t="s">
        <v>18</v>
      </c>
      <c r="E636" s="5">
        <v>45643</v>
      </c>
      <c r="F636" s="5">
        <v>45653</v>
      </c>
      <c r="G636">
        <f t="shared" si="18"/>
        <v>10</v>
      </c>
      <c r="H636" t="s">
        <v>60</v>
      </c>
      <c r="I636" t="s">
        <v>74</v>
      </c>
      <c r="J636" s="2">
        <v>23689.65</v>
      </c>
      <c r="K636" s="6">
        <v>0.9</v>
      </c>
      <c r="L636" t="s">
        <v>15</v>
      </c>
      <c r="M636" s="3">
        <f t="shared" si="19"/>
        <v>23689.65</v>
      </c>
      <c r="N636" s="9" t="str" cm="1">
        <f t="array" ref="N636">_xlfn.IFS(C636&lt;18,"Under 18",C636&lt;36,"18-35",C636&lt;51,"36-50",C636&lt;66,"51-65",C636&gt;=66,"Above 65")</f>
        <v>Above 65</v>
      </c>
      <c r="O636" s="6"/>
    </row>
    <row r="637" spans="1:15" x14ac:dyDescent="0.35">
      <c r="A637" t="s">
        <v>1193</v>
      </c>
      <c r="B637" t="s">
        <v>1194</v>
      </c>
      <c r="C637">
        <v>26</v>
      </c>
      <c r="D637" t="s">
        <v>12</v>
      </c>
      <c r="E637" s="5">
        <v>45960</v>
      </c>
      <c r="F637" s="5">
        <v>45963</v>
      </c>
      <c r="G637">
        <f t="shared" si="18"/>
        <v>3</v>
      </c>
      <c r="H637" t="s">
        <v>31</v>
      </c>
      <c r="I637" t="s">
        <v>32</v>
      </c>
      <c r="J637" s="2">
        <v>2927.98</v>
      </c>
      <c r="K637" s="6">
        <v>1</v>
      </c>
      <c r="L637" t="s">
        <v>15</v>
      </c>
      <c r="M637" s="3">
        <f t="shared" si="19"/>
        <v>2927.98</v>
      </c>
      <c r="N637" s="9" t="str" cm="1">
        <f t="array" ref="N637">_xlfn.IFS(C637&lt;18,"Under 18",C637&lt;36,"18-35",C637&lt;51,"36-50",C637&lt;66,"51-65",C637&gt;=66,"Above 65")</f>
        <v>18-35</v>
      </c>
      <c r="O637" s="6"/>
    </row>
    <row r="638" spans="1:15" x14ac:dyDescent="0.35">
      <c r="A638" t="s">
        <v>1195</v>
      </c>
      <c r="B638" t="s">
        <v>1196</v>
      </c>
      <c r="C638">
        <v>58</v>
      </c>
      <c r="D638" t="s">
        <v>18</v>
      </c>
      <c r="E638" s="5">
        <v>45760</v>
      </c>
      <c r="F638" s="5">
        <v>45769</v>
      </c>
      <c r="G638">
        <f t="shared" si="18"/>
        <v>9</v>
      </c>
      <c r="H638" t="s">
        <v>13</v>
      </c>
      <c r="I638" t="s">
        <v>102</v>
      </c>
      <c r="J638" s="2">
        <v>10908.77</v>
      </c>
      <c r="K638" s="6">
        <v>0.9</v>
      </c>
      <c r="L638" t="s">
        <v>20</v>
      </c>
      <c r="M638" s="3">
        <f t="shared" si="19"/>
        <v>0</v>
      </c>
      <c r="N638" s="9" t="str" cm="1">
        <f t="array" ref="N638">_xlfn.IFS(C638&lt;18,"Under 18",C638&lt;36,"18-35",C638&lt;51,"36-50",C638&lt;66,"51-65",C638&gt;=66,"Above 65")</f>
        <v>51-65</v>
      </c>
      <c r="O638" s="6"/>
    </row>
    <row r="639" spans="1:15" x14ac:dyDescent="0.35">
      <c r="A639" t="s">
        <v>1197</v>
      </c>
      <c r="B639" t="s">
        <v>1198</v>
      </c>
      <c r="C639">
        <v>65</v>
      </c>
      <c r="D639" t="s">
        <v>12</v>
      </c>
      <c r="E639" s="5">
        <v>45478</v>
      </c>
      <c r="F639" s="5">
        <v>45483</v>
      </c>
      <c r="G639">
        <f t="shared" si="18"/>
        <v>5</v>
      </c>
      <c r="H639" t="s">
        <v>13</v>
      </c>
      <c r="I639" t="s">
        <v>19</v>
      </c>
      <c r="J639" s="2">
        <v>9405.2000000000007</v>
      </c>
      <c r="K639" s="6">
        <v>0.7</v>
      </c>
      <c r="L639" t="s">
        <v>20</v>
      </c>
      <c r="M639" s="3">
        <f t="shared" si="19"/>
        <v>0</v>
      </c>
      <c r="N639" s="9" t="str" cm="1">
        <f t="array" ref="N639">_xlfn.IFS(C639&lt;18,"Under 18",C639&lt;36,"18-35",C639&lt;51,"36-50",C639&lt;66,"51-65",C639&gt;=66,"Above 65")</f>
        <v>51-65</v>
      </c>
      <c r="O639" s="6"/>
    </row>
    <row r="640" spans="1:15" x14ac:dyDescent="0.35">
      <c r="A640" t="s">
        <v>1199</v>
      </c>
      <c r="B640" t="s">
        <v>783</v>
      </c>
      <c r="C640">
        <v>37</v>
      </c>
      <c r="D640" t="s">
        <v>18</v>
      </c>
      <c r="E640" s="5">
        <v>45888</v>
      </c>
      <c r="F640" s="5">
        <v>45896</v>
      </c>
      <c r="G640">
        <f t="shared" si="18"/>
        <v>8</v>
      </c>
      <c r="H640" t="s">
        <v>70</v>
      </c>
      <c r="I640" t="s">
        <v>71</v>
      </c>
      <c r="J640" s="2">
        <v>11960.8</v>
      </c>
      <c r="K640" s="6">
        <v>0.8</v>
      </c>
      <c r="L640" t="s">
        <v>15</v>
      </c>
      <c r="M640" s="3">
        <f t="shared" si="19"/>
        <v>11960.8</v>
      </c>
      <c r="N640" s="9" t="str" cm="1">
        <f t="array" ref="N640">_xlfn.IFS(C640&lt;18,"Under 18",C640&lt;36,"18-35",C640&lt;51,"36-50",C640&lt;66,"51-65",C640&gt;=66,"Above 65")</f>
        <v>36-50</v>
      </c>
      <c r="O640" s="6"/>
    </row>
    <row r="641" spans="1:15" x14ac:dyDescent="0.35">
      <c r="A641" t="s">
        <v>1200</v>
      </c>
      <c r="B641" t="s">
        <v>1201</v>
      </c>
      <c r="C641">
        <v>68</v>
      </c>
      <c r="D641" t="s">
        <v>12</v>
      </c>
      <c r="E641" s="5">
        <v>45537</v>
      </c>
      <c r="F641" s="5">
        <v>45538</v>
      </c>
      <c r="G641">
        <f t="shared" si="18"/>
        <v>1</v>
      </c>
      <c r="H641" t="s">
        <v>31</v>
      </c>
      <c r="I641" t="s">
        <v>44</v>
      </c>
      <c r="J641" s="2">
        <v>1174.7</v>
      </c>
      <c r="K641" s="6">
        <v>0.9</v>
      </c>
      <c r="L641" t="s">
        <v>20</v>
      </c>
      <c r="M641" s="3">
        <f t="shared" si="19"/>
        <v>0</v>
      </c>
      <c r="N641" s="9" t="str" cm="1">
        <f t="array" ref="N641">_xlfn.IFS(C641&lt;18,"Under 18",C641&lt;36,"18-35",C641&lt;51,"36-50",C641&lt;66,"51-65",C641&gt;=66,"Above 65")</f>
        <v>Above 65</v>
      </c>
      <c r="O641" s="6"/>
    </row>
    <row r="642" spans="1:15" x14ac:dyDescent="0.35">
      <c r="A642" t="s">
        <v>1202</v>
      </c>
      <c r="B642" t="s">
        <v>1203</v>
      </c>
      <c r="C642">
        <v>41</v>
      </c>
      <c r="D642" t="s">
        <v>12</v>
      </c>
      <c r="E642" s="5">
        <v>45314</v>
      </c>
      <c r="F642" s="5">
        <v>45321</v>
      </c>
      <c r="G642">
        <f t="shared" si="18"/>
        <v>7</v>
      </c>
      <c r="H642" t="s">
        <v>31</v>
      </c>
      <c r="I642" t="s">
        <v>234</v>
      </c>
      <c r="J642" s="2">
        <v>6487.34</v>
      </c>
      <c r="K642" s="6">
        <v>0.8</v>
      </c>
      <c r="L642" t="s">
        <v>15</v>
      </c>
      <c r="M642" s="3">
        <f t="shared" si="19"/>
        <v>6487.34</v>
      </c>
      <c r="N642" s="9" t="str" cm="1">
        <f t="array" ref="N642">_xlfn.IFS(C642&lt;18,"Under 18",C642&lt;36,"18-35",C642&lt;51,"36-50",C642&lt;66,"51-65",C642&gt;=66,"Above 65")</f>
        <v>36-50</v>
      </c>
      <c r="O642" s="6"/>
    </row>
    <row r="643" spans="1:15" x14ac:dyDescent="0.35">
      <c r="A643" t="s">
        <v>1204</v>
      </c>
      <c r="B643" t="s">
        <v>1101</v>
      </c>
      <c r="C643">
        <v>40</v>
      </c>
      <c r="D643" t="s">
        <v>12</v>
      </c>
      <c r="E643" s="5">
        <v>45752</v>
      </c>
      <c r="F643" s="5">
        <v>45754</v>
      </c>
      <c r="G643">
        <f t="shared" ref="G643:G706" si="20">DATEDIF(E643,F643,"D")</f>
        <v>2</v>
      </c>
      <c r="H643" t="s">
        <v>23</v>
      </c>
      <c r="I643" t="s">
        <v>333</v>
      </c>
      <c r="J643" s="2">
        <v>3282.55</v>
      </c>
      <c r="K643" s="6">
        <v>0.7</v>
      </c>
      <c r="L643" t="s">
        <v>20</v>
      </c>
      <c r="M643" s="3">
        <f t="shared" ref="M643:M706" si="21">IF(L643 = "Paid",J643,0)</f>
        <v>0</v>
      </c>
      <c r="N643" s="9" t="str" cm="1">
        <f t="array" ref="N643">_xlfn.IFS(C643&lt;18,"Under 18",C643&lt;36,"18-35",C643&lt;51,"36-50",C643&lt;66,"51-65",C643&gt;=66,"Above 65")</f>
        <v>36-50</v>
      </c>
      <c r="O643" s="6"/>
    </row>
    <row r="644" spans="1:15" x14ac:dyDescent="0.35">
      <c r="A644" t="s">
        <v>1205</v>
      </c>
      <c r="B644" t="s">
        <v>1206</v>
      </c>
      <c r="C644">
        <v>55</v>
      </c>
      <c r="D644" t="s">
        <v>18</v>
      </c>
      <c r="E644" s="5">
        <v>45716</v>
      </c>
      <c r="F644" s="5">
        <v>45722</v>
      </c>
      <c r="G644">
        <f t="shared" si="20"/>
        <v>6</v>
      </c>
      <c r="H644" t="s">
        <v>60</v>
      </c>
      <c r="I644" t="s">
        <v>77</v>
      </c>
      <c r="J644" s="2">
        <v>13468.92</v>
      </c>
      <c r="K644" s="6">
        <v>0.8</v>
      </c>
      <c r="L644" t="s">
        <v>15</v>
      </c>
      <c r="M644" s="3">
        <f t="shared" si="21"/>
        <v>13468.92</v>
      </c>
      <c r="N644" s="9" t="str" cm="1">
        <f t="array" ref="N644">_xlfn.IFS(C644&lt;18,"Under 18",C644&lt;36,"18-35",C644&lt;51,"36-50",C644&lt;66,"51-65",C644&gt;=66,"Above 65")</f>
        <v>51-65</v>
      </c>
      <c r="O644" s="6"/>
    </row>
    <row r="645" spans="1:15" x14ac:dyDescent="0.35">
      <c r="A645" t="s">
        <v>1207</v>
      </c>
      <c r="B645" t="s">
        <v>1208</v>
      </c>
      <c r="C645">
        <v>76</v>
      </c>
      <c r="D645" t="s">
        <v>12</v>
      </c>
      <c r="E645" s="5">
        <v>45868</v>
      </c>
      <c r="F645" s="5">
        <v>45873</v>
      </c>
      <c r="G645">
        <f t="shared" si="20"/>
        <v>5</v>
      </c>
      <c r="H645" t="s">
        <v>13</v>
      </c>
      <c r="I645" t="s">
        <v>14</v>
      </c>
      <c r="J645" s="2">
        <v>7431.19</v>
      </c>
      <c r="K645" s="6">
        <v>0.8</v>
      </c>
      <c r="L645" t="s">
        <v>20</v>
      </c>
      <c r="M645" s="3">
        <f t="shared" si="21"/>
        <v>0</v>
      </c>
      <c r="N645" s="9" t="str" cm="1">
        <f t="array" ref="N645">_xlfn.IFS(C645&lt;18,"Under 18",C645&lt;36,"18-35",C645&lt;51,"36-50",C645&lt;66,"51-65",C645&gt;=66,"Above 65")</f>
        <v>Above 65</v>
      </c>
      <c r="O645" s="6"/>
    </row>
    <row r="646" spans="1:15" x14ac:dyDescent="0.35">
      <c r="A646" t="s">
        <v>1209</v>
      </c>
      <c r="B646" t="s">
        <v>1210</v>
      </c>
      <c r="C646">
        <v>77</v>
      </c>
      <c r="D646" t="s">
        <v>18</v>
      </c>
      <c r="E646" s="5">
        <v>45612</v>
      </c>
      <c r="F646" s="5">
        <v>45616</v>
      </c>
      <c r="G646">
        <f t="shared" si="20"/>
        <v>4</v>
      </c>
      <c r="H646" t="s">
        <v>70</v>
      </c>
      <c r="I646" t="s">
        <v>94</v>
      </c>
      <c r="J646" s="2">
        <v>4416.84</v>
      </c>
      <c r="K646" s="6">
        <v>0.8</v>
      </c>
      <c r="L646" t="s">
        <v>25</v>
      </c>
      <c r="M646" s="3">
        <f t="shared" si="21"/>
        <v>0</v>
      </c>
      <c r="N646" s="9" t="str" cm="1">
        <f t="array" ref="N646">_xlfn.IFS(C646&lt;18,"Under 18",C646&lt;36,"18-35",C646&lt;51,"36-50",C646&lt;66,"51-65",C646&gt;=66,"Above 65")</f>
        <v>Above 65</v>
      </c>
      <c r="O646" s="6"/>
    </row>
    <row r="647" spans="1:15" x14ac:dyDescent="0.35">
      <c r="A647" t="s">
        <v>1211</v>
      </c>
      <c r="B647" t="s">
        <v>1212</v>
      </c>
      <c r="C647">
        <v>77</v>
      </c>
      <c r="D647" t="s">
        <v>12</v>
      </c>
      <c r="E647" s="5">
        <v>45967</v>
      </c>
      <c r="F647" s="5">
        <v>45968</v>
      </c>
      <c r="G647">
        <f t="shared" si="20"/>
        <v>1</v>
      </c>
      <c r="H647" t="s">
        <v>23</v>
      </c>
      <c r="I647" t="s">
        <v>24</v>
      </c>
      <c r="J647" s="2">
        <v>1265.79</v>
      </c>
      <c r="K647" s="6">
        <v>0.8</v>
      </c>
      <c r="L647" t="s">
        <v>20</v>
      </c>
      <c r="M647" s="3">
        <f t="shared" si="21"/>
        <v>0</v>
      </c>
      <c r="N647" s="9" t="str" cm="1">
        <f t="array" ref="N647">_xlfn.IFS(C647&lt;18,"Under 18",C647&lt;36,"18-35",C647&lt;51,"36-50",C647&lt;66,"51-65",C647&gt;=66,"Above 65")</f>
        <v>Above 65</v>
      </c>
      <c r="O647" s="6"/>
    </row>
    <row r="648" spans="1:15" x14ac:dyDescent="0.35">
      <c r="A648" t="s">
        <v>1213</v>
      </c>
      <c r="B648" t="s">
        <v>870</v>
      </c>
      <c r="C648">
        <v>47</v>
      </c>
      <c r="D648" t="s">
        <v>18</v>
      </c>
      <c r="E648" s="5">
        <v>45509</v>
      </c>
      <c r="F648" s="5">
        <v>45514</v>
      </c>
      <c r="G648">
        <f t="shared" si="20"/>
        <v>5</v>
      </c>
      <c r="H648" t="s">
        <v>31</v>
      </c>
      <c r="I648" t="s">
        <v>114</v>
      </c>
      <c r="J648" s="2">
        <v>7496.19</v>
      </c>
      <c r="K648" s="6">
        <v>0.8</v>
      </c>
      <c r="L648" t="s">
        <v>15</v>
      </c>
      <c r="M648" s="3">
        <f t="shared" si="21"/>
        <v>7496.19</v>
      </c>
      <c r="N648" s="9" t="str" cm="1">
        <f t="array" ref="N648">_xlfn.IFS(C648&lt;18,"Under 18",C648&lt;36,"18-35",C648&lt;51,"36-50",C648&lt;66,"51-65",C648&gt;=66,"Above 65")</f>
        <v>36-50</v>
      </c>
      <c r="O648" s="6"/>
    </row>
    <row r="649" spans="1:15" x14ac:dyDescent="0.35">
      <c r="A649" t="s">
        <v>1214</v>
      </c>
      <c r="B649" t="s">
        <v>113</v>
      </c>
      <c r="C649">
        <v>46</v>
      </c>
      <c r="D649" t="s">
        <v>18</v>
      </c>
      <c r="E649" s="5">
        <v>45381</v>
      </c>
      <c r="F649" s="5">
        <v>45385</v>
      </c>
      <c r="G649">
        <f t="shared" si="20"/>
        <v>4</v>
      </c>
      <c r="H649" t="s">
        <v>31</v>
      </c>
      <c r="I649" t="s">
        <v>35</v>
      </c>
      <c r="J649" s="2">
        <v>5991.42</v>
      </c>
      <c r="K649" s="6">
        <v>1</v>
      </c>
      <c r="L649" t="s">
        <v>25</v>
      </c>
      <c r="M649" s="3">
        <f t="shared" si="21"/>
        <v>0</v>
      </c>
      <c r="N649" s="9" t="str" cm="1">
        <f t="array" ref="N649">_xlfn.IFS(C649&lt;18,"Under 18",C649&lt;36,"18-35",C649&lt;51,"36-50",C649&lt;66,"51-65",C649&gt;=66,"Above 65")</f>
        <v>36-50</v>
      </c>
      <c r="O649" s="6"/>
    </row>
    <row r="650" spans="1:15" x14ac:dyDescent="0.35">
      <c r="A650" t="s">
        <v>1215</v>
      </c>
      <c r="B650" t="s">
        <v>1216</v>
      </c>
      <c r="C650">
        <v>62</v>
      </c>
      <c r="D650" t="s">
        <v>12</v>
      </c>
      <c r="E650" s="5">
        <v>45428</v>
      </c>
      <c r="F650" s="5">
        <v>45438</v>
      </c>
      <c r="G650">
        <f t="shared" si="20"/>
        <v>10</v>
      </c>
      <c r="H650" t="s">
        <v>13</v>
      </c>
      <c r="I650" t="s">
        <v>14</v>
      </c>
      <c r="J650" s="2">
        <v>12878.2</v>
      </c>
      <c r="K650" s="6">
        <v>0.8</v>
      </c>
      <c r="L650" t="s">
        <v>15</v>
      </c>
      <c r="M650" s="3">
        <f t="shared" si="21"/>
        <v>12878.2</v>
      </c>
      <c r="N650" s="9" t="str" cm="1">
        <f t="array" ref="N650">_xlfn.IFS(C650&lt;18,"Under 18",C650&lt;36,"18-35",C650&lt;51,"36-50",C650&lt;66,"51-65",C650&gt;=66,"Above 65")</f>
        <v>51-65</v>
      </c>
      <c r="O650" s="6"/>
    </row>
    <row r="651" spans="1:15" x14ac:dyDescent="0.35">
      <c r="A651" t="s">
        <v>1217</v>
      </c>
      <c r="B651" t="s">
        <v>1218</v>
      </c>
      <c r="C651">
        <v>5</v>
      </c>
      <c r="D651" t="s">
        <v>12</v>
      </c>
      <c r="E651" s="5">
        <v>46008</v>
      </c>
      <c r="F651" s="5">
        <v>46012</v>
      </c>
      <c r="G651">
        <f t="shared" si="20"/>
        <v>4</v>
      </c>
      <c r="H651" t="s">
        <v>49</v>
      </c>
      <c r="I651" t="s">
        <v>130</v>
      </c>
      <c r="J651" s="2">
        <v>4752.84</v>
      </c>
      <c r="K651" s="6">
        <v>0.8</v>
      </c>
      <c r="L651" t="s">
        <v>15</v>
      </c>
      <c r="M651" s="3">
        <f t="shared" si="21"/>
        <v>4752.84</v>
      </c>
      <c r="N651" s="9" t="str" cm="1">
        <f t="array" ref="N651">_xlfn.IFS(C651&lt;18,"Under 18",C651&lt;36,"18-35",C651&lt;51,"36-50",C651&lt;66,"51-65",C651&gt;=66,"Above 65")</f>
        <v>Under 18</v>
      </c>
      <c r="O651" s="6"/>
    </row>
    <row r="652" spans="1:15" x14ac:dyDescent="0.35">
      <c r="A652" t="s">
        <v>1219</v>
      </c>
      <c r="B652" t="s">
        <v>1220</v>
      </c>
      <c r="C652">
        <v>34</v>
      </c>
      <c r="D652" t="s">
        <v>12</v>
      </c>
      <c r="E652" s="5">
        <v>45435</v>
      </c>
      <c r="F652" s="5">
        <v>45436</v>
      </c>
      <c r="G652">
        <f t="shared" si="20"/>
        <v>1</v>
      </c>
      <c r="H652" t="s">
        <v>31</v>
      </c>
      <c r="I652" t="s">
        <v>53</v>
      </c>
      <c r="J652" s="2">
        <v>1394.75</v>
      </c>
      <c r="K652" s="6">
        <v>0</v>
      </c>
      <c r="L652" t="s">
        <v>20</v>
      </c>
      <c r="M652" s="3">
        <f t="shared" si="21"/>
        <v>0</v>
      </c>
      <c r="N652" s="9" t="str" cm="1">
        <f t="array" ref="N652">_xlfn.IFS(C652&lt;18,"Under 18",C652&lt;36,"18-35",C652&lt;51,"36-50",C652&lt;66,"51-65",C652&gt;=66,"Above 65")</f>
        <v>18-35</v>
      </c>
      <c r="O652" s="6"/>
    </row>
    <row r="653" spans="1:15" x14ac:dyDescent="0.35">
      <c r="A653" t="s">
        <v>1221</v>
      </c>
      <c r="B653" t="s">
        <v>1222</v>
      </c>
      <c r="C653">
        <v>59</v>
      </c>
      <c r="D653" t="s">
        <v>12</v>
      </c>
      <c r="E653" s="5">
        <v>45525</v>
      </c>
      <c r="F653" s="5">
        <v>45527</v>
      </c>
      <c r="G653">
        <f t="shared" si="20"/>
        <v>2</v>
      </c>
      <c r="H653" t="s">
        <v>23</v>
      </c>
      <c r="I653" t="s">
        <v>28</v>
      </c>
      <c r="J653" s="2">
        <v>3366.33</v>
      </c>
      <c r="K653" s="6">
        <v>0.7</v>
      </c>
      <c r="L653" t="s">
        <v>20</v>
      </c>
      <c r="M653" s="3">
        <f t="shared" si="21"/>
        <v>0</v>
      </c>
      <c r="N653" s="9" t="str" cm="1">
        <f t="array" ref="N653">_xlfn.IFS(C653&lt;18,"Under 18",C653&lt;36,"18-35",C653&lt;51,"36-50",C653&lt;66,"51-65",C653&gt;=66,"Above 65")</f>
        <v>51-65</v>
      </c>
      <c r="O653" s="6"/>
    </row>
    <row r="654" spans="1:15" x14ac:dyDescent="0.35">
      <c r="A654" t="s">
        <v>1223</v>
      </c>
      <c r="B654" t="s">
        <v>236</v>
      </c>
      <c r="C654">
        <v>65</v>
      </c>
      <c r="D654" t="s">
        <v>18</v>
      </c>
      <c r="E654" s="5">
        <v>45589</v>
      </c>
      <c r="F654" s="5">
        <v>45595</v>
      </c>
      <c r="G654">
        <f t="shared" si="20"/>
        <v>6</v>
      </c>
      <c r="H654" t="s">
        <v>13</v>
      </c>
      <c r="I654" t="s">
        <v>19</v>
      </c>
      <c r="J654" s="2">
        <v>9890.23</v>
      </c>
      <c r="K654" s="6">
        <v>0.8</v>
      </c>
      <c r="L654" t="s">
        <v>15</v>
      </c>
      <c r="M654" s="3">
        <f t="shared" si="21"/>
        <v>9890.23</v>
      </c>
      <c r="N654" s="9" t="str" cm="1">
        <f t="array" ref="N654">_xlfn.IFS(C654&lt;18,"Under 18",C654&lt;36,"18-35",C654&lt;51,"36-50",C654&lt;66,"51-65",C654&gt;=66,"Above 65")</f>
        <v>51-65</v>
      </c>
      <c r="O654" s="6"/>
    </row>
    <row r="655" spans="1:15" x14ac:dyDescent="0.35">
      <c r="A655" t="s">
        <v>1224</v>
      </c>
      <c r="B655" t="s">
        <v>141</v>
      </c>
      <c r="C655">
        <v>44</v>
      </c>
      <c r="D655" t="s">
        <v>12</v>
      </c>
      <c r="E655" s="5">
        <v>45379</v>
      </c>
      <c r="F655" s="5">
        <v>45383</v>
      </c>
      <c r="G655">
        <f t="shared" si="20"/>
        <v>4</v>
      </c>
      <c r="H655" t="s">
        <v>13</v>
      </c>
      <c r="I655" t="s">
        <v>14</v>
      </c>
      <c r="J655" s="2">
        <v>10351.120000000001</v>
      </c>
      <c r="K655" s="6">
        <v>0.8</v>
      </c>
      <c r="L655" t="s">
        <v>20</v>
      </c>
      <c r="M655" s="3">
        <f t="shared" si="21"/>
        <v>0</v>
      </c>
      <c r="N655" s="9" t="str" cm="1">
        <f t="array" ref="N655">_xlfn.IFS(C655&lt;18,"Under 18",C655&lt;36,"18-35",C655&lt;51,"36-50",C655&lt;66,"51-65",C655&gt;=66,"Above 65")</f>
        <v>36-50</v>
      </c>
      <c r="O655" s="6"/>
    </row>
    <row r="656" spans="1:15" x14ac:dyDescent="0.35">
      <c r="A656" t="s">
        <v>1225</v>
      </c>
      <c r="B656" t="s">
        <v>1218</v>
      </c>
      <c r="C656">
        <v>17</v>
      </c>
      <c r="D656" t="s">
        <v>12</v>
      </c>
      <c r="E656" s="5">
        <v>45955</v>
      </c>
      <c r="F656" s="5">
        <v>45956</v>
      </c>
      <c r="G656">
        <f t="shared" si="20"/>
        <v>1</v>
      </c>
      <c r="H656" t="s">
        <v>49</v>
      </c>
      <c r="I656" t="s">
        <v>50</v>
      </c>
      <c r="J656" s="2">
        <v>836.96</v>
      </c>
      <c r="K656" s="6">
        <v>0.7</v>
      </c>
      <c r="L656" t="s">
        <v>15</v>
      </c>
      <c r="M656" s="3">
        <f t="shared" si="21"/>
        <v>836.96</v>
      </c>
      <c r="N656" s="9" t="str" cm="1">
        <f t="array" ref="N656">_xlfn.IFS(C656&lt;18,"Under 18",C656&lt;36,"18-35",C656&lt;51,"36-50",C656&lt;66,"51-65",C656&gt;=66,"Above 65")</f>
        <v>Under 18</v>
      </c>
      <c r="O656" s="6"/>
    </row>
    <row r="657" spans="1:15" x14ac:dyDescent="0.35">
      <c r="A657" t="s">
        <v>1226</v>
      </c>
      <c r="B657" t="s">
        <v>1227</v>
      </c>
      <c r="C657">
        <v>16</v>
      </c>
      <c r="D657" t="s">
        <v>18</v>
      </c>
      <c r="E657" s="5">
        <v>45496</v>
      </c>
      <c r="F657" s="5">
        <v>45501</v>
      </c>
      <c r="G657">
        <f t="shared" si="20"/>
        <v>5</v>
      </c>
      <c r="H657" t="s">
        <v>49</v>
      </c>
      <c r="I657" t="s">
        <v>117</v>
      </c>
      <c r="J657" s="2">
        <v>6886.9</v>
      </c>
      <c r="K657" s="6">
        <v>0.5</v>
      </c>
      <c r="L657" t="s">
        <v>20</v>
      </c>
      <c r="M657" s="3">
        <f t="shared" si="21"/>
        <v>0</v>
      </c>
      <c r="N657" s="9" t="str" cm="1">
        <f t="array" ref="N657">_xlfn.IFS(C657&lt;18,"Under 18",C657&lt;36,"18-35",C657&lt;51,"36-50",C657&lt;66,"51-65",C657&gt;=66,"Above 65")</f>
        <v>Under 18</v>
      </c>
      <c r="O657" s="6"/>
    </row>
    <row r="658" spans="1:15" x14ac:dyDescent="0.35">
      <c r="A658" t="s">
        <v>1228</v>
      </c>
      <c r="B658" t="s">
        <v>288</v>
      </c>
      <c r="C658">
        <v>3</v>
      </c>
      <c r="D658" t="s">
        <v>12</v>
      </c>
      <c r="E658" s="5">
        <v>45388</v>
      </c>
      <c r="F658" s="5">
        <v>45393</v>
      </c>
      <c r="G658">
        <f t="shared" si="20"/>
        <v>5</v>
      </c>
      <c r="H658" t="s">
        <v>49</v>
      </c>
      <c r="I658" t="s">
        <v>123</v>
      </c>
      <c r="J658" s="2">
        <v>7993.91</v>
      </c>
      <c r="K658" s="6">
        <v>0.9</v>
      </c>
      <c r="L658" t="s">
        <v>25</v>
      </c>
      <c r="M658" s="3">
        <f t="shared" si="21"/>
        <v>0</v>
      </c>
      <c r="N658" s="9" t="str" cm="1">
        <f t="array" ref="N658">_xlfn.IFS(C658&lt;18,"Under 18",C658&lt;36,"18-35",C658&lt;51,"36-50",C658&lt;66,"51-65",C658&gt;=66,"Above 65")</f>
        <v>Under 18</v>
      </c>
      <c r="O658" s="6"/>
    </row>
    <row r="659" spans="1:15" x14ac:dyDescent="0.35">
      <c r="A659" t="s">
        <v>1229</v>
      </c>
      <c r="B659" t="s">
        <v>890</v>
      </c>
      <c r="C659">
        <v>79</v>
      </c>
      <c r="D659" t="s">
        <v>12</v>
      </c>
      <c r="E659" s="5">
        <v>45926</v>
      </c>
      <c r="F659" s="5">
        <v>45933</v>
      </c>
      <c r="G659">
        <f t="shared" si="20"/>
        <v>7</v>
      </c>
      <c r="H659" t="s">
        <v>31</v>
      </c>
      <c r="I659" t="s">
        <v>53</v>
      </c>
      <c r="J659" s="2">
        <v>9475.6200000000008</v>
      </c>
      <c r="K659" s="6">
        <v>0.9</v>
      </c>
      <c r="L659" t="s">
        <v>15</v>
      </c>
      <c r="M659" s="3">
        <f t="shared" si="21"/>
        <v>9475.6200000000008</v>
      </c>
      <c r="N659" s="9" t="str" cm="1">
        <f t="array" ref="N659">_xlfn.IFS(C659&lt;18,"Under 18",C659&lt;36,"18-35",C659&lt;51,"36-50",C659&lt;66,"51-65",C659&gt;=66,"Above 65")</f>
        <v>Above 65</v>
      </c>
      <c r="O659" s="6"/>
    </row>
    <row r="660" spans="1:15" x14ac:dyDescent="0.35">
      <c r="A660" t="s">
        <v>1230</v>
      </c>
      <c r="B660" t="s">
        <v>1011</v>
      </c>
      <c r="C660">
        <v>10</v>
      </c>
      <c r="D660" t="s">
        <v>12</v>
      </c>
      <c r="E660" s="5">
        <v>45975</v>
      </c>
      <c r="F660" s="5">
        <v>45980</v>
      </c>
      <c r="G660">
        <f t="shared" si="20"/>
        <v>5</v>
      </c>
      <c r="H660" t="s">
        <v>49</v>
      </c>
      <c r="I660" t="s">
        <v>117</v>
      </c>
      <c r="J660" s="2">
        <v>8509.42</v>
      </c>
      <c r="K660" s="6">
        <v>0</v>
      </c>
      <c r="L660" t="s">
        <v>15</v>
      </c>
      <c r="M660" s="3">
        <f t="shared" si="21"/>
        <v>8509.42</v>
      </c>
      <c r="N660" s="9" t="str" cm="1">
        <f t="array" ref="N660">_xlfn.IFS(C660&lt;18,"Under 18",C660&lt;36,"18-35",C660&lt;51,"36-50",C660&lt;66,"51-65",C660&gt;=66,"Above 65")</f>
        <v>Under 18</v>
      </c>
      <c r="O660" s="6"/>
    </row>
    <row r="661" spans="1:15" x14ac:dyDescent="0.35">
      <c r="A661" t="s">
        <v>1231</v>
      </c>
      <c r="B661" t="s">
        <v>1232</v>
      </c>
      <c r="C661">
        <v>50</v>
      </c>
      <c r="D661" t="s">
        <v>12</v>
      </c>
      <c r="E661" s="5">
        <v>45635</v>
      </c>
      <c r="F661" s="5">
        <v>45643</v>
      </c>
      <c r="G661">
        <f t="shared" si="20"/>
        <v>8</v>
      </c>
      <c r="H661" t="s">
        <v>60</v>
      </c>
      <c r="I661" t="s">
        <v>77</v>
      </c>
      <c r="J661" s="2">
        <v>20107.36</v>
      </c>
      <c r="K661" s="6">
        <v>0.7</v>
      </c>
      <c r="L661" t="s">
        <v>15</v>
      </c>
      <c r="M661" s="3">
        <f t="shared" si="21"/>
        <v>20107.36</v>
      </c>
      <c r="N661" s="9" t="str" cm="1">
        <f t="array" ref="N661">_xlfn.IFS(C661&lt;18,"Under 18",C661&lt;36,"18-35",C661&lt;51,"36-50",C661&lt;66,"51-65",C661&gt;=66,"Above 65")</f>
        <v>36-50</v>
      </c>
      <c r="O661" s="6"/>
    </row>
    <row r="662" spans="1:15" x14ac:dyDescent="0.35">
      <c r="A662" t="s">
        <v>1233</v>
      </c>
      <c r="B662" t="s">
        <v>1234</v>
      </c>
      <c r="C662">
        <v>29</v>
      </c>
      <c r="D662" t="s">
        <v>12</v>
      </c>
      <c r="E662" s="5">
        <v>45491</v>
      </c>
      <c r="F662" s="5">
        <v>45501</v>
      </c>
      <c r="G662">
        <f t="shared" si="20"/>
        <v>10</v>
      </c>
      <c r="H662" t="s">
        <v>60</v>
      </c>
      <c r="I662" t="s">
        <v>97</v>
      </c>
      <c r="J662" s="2">
        <v>26732.79</v>
      </c>
      <c r="K662" s="6">
        <v>0.8</v>
      </c>
      <c r="L662" t="s">
        <v>15</v>
      </c>
      <c r="M662" s="3">
        <f t="shared" si="21"/>
        <v>26732.79</v>
      </c>
      <c r="N662" s="9" t="str" cm="1">
        <f t="array" ref="N662">_xlfn.IFS(C662&lt;18,"Under 18",C662&lt;36,"18-35",C662&lt;51,"36-50",C662&lt;66,"51-65",C662&gt;=66,"Above 65")</f>
        <v>18-35</v>
      </c>
      <c r="O662" s="6"/>
    </row>
    <row r="663" spans="1:15" x14ac:dyDescent="0.35">
      <c r="A663" t="s">
        <v>1235</v>
      </c>
      <c r="B663" t="s">
        <v>1236</v>
      </c>
      <c r="C663">
        <v>27</v>
      </c>
      <c r="D663" t="s">
        <v>12</v>
      </c>
      <c r="E663" s="5">
        <v>45868</v>
      </c>
      <c r="F663" s="5">
        <v>45869</v>
      </c>
      <c r="G663">
        <f t="shared" si="20"/>
        <v>1</v>
      </c>
      <c r="H663" t="s">
        <v>23</v>
      </c>
      <c r="I663" t="s">
        <v>41</v>
      </c>
      <c r="J663" s="2">
        <v>2285.5</v>
      </c>
      <c r="K663" s="6">
        <v>0.5</v>
      </c>
      <c r="L663" t="s">
        <v>15</v>
      </c>
      <c r="M663" s="3">
        <f t="shared" si="21"/>
        <v>2285.5</v>
      </c>
      <c r="N663" s="9" t="str" cm="1">
        <f t="array" ref="N663">_xlfn.IFS(C663&lt;18,"Under 18",C663&lt;36,"18-35",C663&lt;51,"36-50",C663&lt;66,"51-65",C663&gt;=66,"Above 65")</f>
        <v>18-35</v>
      </c>
      <c r="O663" s="6"/>
    </row>
    <row r="664" spans="1:15" x14ac:dyDescent="0.35">
      <c r="A664" t="s">
        <v>1237</v>
      </c>
      <c r="B664" t="s">
        <v>1238</v>
      </c>
      <c r="C664">
        <v>11</v>
      </c>
      <c r="D664" t="s">
        <v>18</v>
      </c>
      <c r="E664" s="5">
        <v>45418</v>
      </c>
      <c r="F664" s="5">
        <v>45422</v>
      </c>
      <c r="G664">
        <f t="shared" si="20"/>
        <v>4</v>
      </c>
      <c r="H664" t="s">
        <v>49</v>
      </c>
      <c r="I664" t="s">
        <v>50</v>
      </c>
      <c r="J664" s="2">
        <v>3830.25</v>
      </c>
      <c r="K664" s="6">
        <v>0.9</v>
      </c>
      <c r="L664" t="s">
        <v>20</v>
      </c>
      <c r="M664" s="3">
        <f t="shared" si="21"/>
        <v>0</v>
      </c>
      <c r="N664" s="9" t="str" cm="1">
        <f t="array" ref="N664">_xlfn.IFS(C664&lt;18,"Under 18",C664&lt;36,"18-35",C664&lt;51,"36-50",C664&lt;66,"51-65",C664&gt;=66,"Above 65")</f>
        <v>Under 18</v>
      </c>
      <c r="O664" s="6"/>
    </row>
    <row r="665" spans="1:15" x14ac:dyDescent="0.35">
      <c r="A665" t="s">
        <v>1239</v>
      </c>
      <c r="B665" t="s">
        <v>1240</v>
      </c>
      <c r="C665">
        <v>17</v>
      </c>
      <c r="D665" t="s">
        <v>18</v>
      </c>
      <c r="E665" s="5">
        <v>45438</v>
      </c>
      <c r="F665" s="5">
        <v>45443</v>
      </c>
      <c r="G665">
        <f t="shared" si="20"/>
        <v>5</v>
      </c>
      <c r="H665" t="s">
        <v>49</v>
      </c>
      <c r="I665" t="s">
        <v>123</v>
      </c>
      <c r="J665" s="2">
        <v>3322.2</v>
      </c>
      <c r="K665" s="6">
        <v>0.6</v>
      </c>
      <c r="L665" t="s">
        <v>15</v>
      </c>
      <c r="M665" s="3">
        <f t="shared" si="21"/>
        <v>3322.2</v>
      </c>
      <c r="N665" s="9" t="str" cm="1">
        <f t="array" ref="N665">_xlfn.IFS(C665&lt;18,"Under 18",C665&lt;36,"18-35",C665&lt;51,"36-50",C665&lt;66,"51-65",C665&gt;=66,"Above 65")</f>
        <v>Under 18</v>
      </c>
      <c r="O665" s="6"/>
    </row>
    <row r="666" spans="1:15" x14ac:dyDescent="0.35">
      <c r="A666" t="s">
        <v>1241</v>
      </c>
      <c r="B666" t="s">
        <v>1242</v>
      </c>
      <c r="C666">
        <v>42</v>
      </c>
      <c r="D666" t="s">
        <v>18</v>
      </c>
      <c r="E666" s="5">
        <v>45585</v>
      </c>
      <c r="F666" s="5">
        <v>45593</v>
      </c>
      <c r="G666">
        <f t="shared" si="20"/>
        <v>8</v>
      </c>
      <c r="H666" t="s">
        <v>13</v>
      </c>
      <c r="I666" t="s">
        <v>38</v>
      </c>
      <c r="J666" s="2">
        <v>16467.43</v>
      </c>
      <c r="K666" s="6">
        <v>0.7</v>
      </c>
      <c r="L666" t="s">
        <v>15</v>
      </c>
      <c r="M666" s="3">
        <f t="shared" si="21"/>
        <v>16467.43</v>
      </c>
      <c r="N666" s="9" t="str" cm="1">
        <f t="array" ref="N666">_xlfn.IFS(C666&lt;18,"Under 18",C666&lt;36,"18-35",C666&lt;51,"36-50",C666&lt;66,"51-65",C666&gt;=66,"Above 65")</f>
        <v>36-50</v>
      </c>
      <c r="O666" s="6"/>
    </row>
    <row r="667" spans="1:15" x14ac:dyDescent="0.35">
      <c r="A667" t="s">
        <v>1243</v>
      </c>
      <c r="B667" t="s">
        <v>79</v>
      </c>
      <c r="C667">
        <v>57</v>
      </c>
      <c r="D667" t="s">
        <v>18</v>
      </c>
      <c r="E667" s="5">
        <v>45477</v>
      </c>
      <c r="F667" s="5">
        <v>45482</v>
      </c>
      <c r="G667">
        <f t="shared" si="20"/>
        <v>5</v>
      </c>
      <c r="H667" t="s">
        <v>60</v>
      </c>
      <c r="I667" t="s">
        <v>133</v>
      </c>
      <c r="J667" s="2">
        <v>11600.46</v>
      </c>
      <c r="K667" s="6">
        <v>1</v>
      </c>
      <c r="L667" t="s">
        <v>15</v>
      </c>
      <c r="M667" s="3">
        <f t="shared" si="21"/>
        <v>11600.46</v>
      </c>
      <c r="N667" s="9" t="str" cm="1">
        <f t="array" ref="N667">_xlfn.IFS(C667&lt;18,"Under 18",C667&lt;36,"18-35",C667&lt;51,"36-50",C667&lt;66,"51-65",C667&gt;=66,"Above 65")</f>
        <v>51-65</v>
      </c>
      <c r="O667" s="6"/>
    </row>
    <row r="668" spans="1:15" x14ac:dyDescent="0.35">
      <c r="A668" t="s">
        <v>1244</v>
      </c>
      <c r="B668" t="s">
        <v>1245</v>
      </c>
      <c r="C668">
        <v>64</v>
      </c>
      <c r="D668" t="s">
        <v>12</v>
      </c>
      <c r="E668" s="5">
        <v>45334</v>
      </c>
      <c r="F668" s="5">
        <v>45344</v>
      </c>
      <c r="G668">
        <f t="shared" si="20"/>
        <v>10</v>
      </c>
      <c r="H668" t="s">
        <v>70</v>
      </c>
      <c r="I668" t="s">
        <v>157</v>
      </c>
      <c r="J668" s="2">
        <v>15327.29</v>
      </c>
      <c r="K668" s="6">
        <v>0.8</v>
      </c>
      <c r="L668" t="s">
        <v>15</v>
      </c>
      <c r="M668" s="3">
        <f t="shared" si="21"/>
        <v>15327.29</v>
      </c>
      <c r="N668" s="9" t="str" cm="1">
        <f t="array" ref="N668">_xlfn.IFS(C668&lt;18,"Under 18",C668&lt;36,"18-35",C668&lt;51,"36-50",C668&lt;66,"51-65",C668&gt;=66,"Above 65")</f>
        <v>51-65</v>
      </c>
      <c r="O668" s="6"/>
    </row>
    <row r="669" spans="1:15" x14ac:dyDescent="0.35">
      <c r="A669" t="s">
        <v>1246</v>
      </c>
      <c r="B669" t="s">
        <v>177</v>
      </c>
      <c r="C669">
        <v>47</v>
      </c>
      <c r="D669" t="s">
        <v>12</v>
      </c>
      <c r="E669" s="5">
        <v>45649</v>
      </c>
      <c r="F669" s="5">
        <v>45656</v>
      </c>
      <c r="G669">
        <f t="shared" si="20"/>
        <v>7</v>
      </c>
      <c r="H669" t="s">
        <v>31</v>
      </c>
      <c r="I669" t="s">
        <v>53</v>
      </c>
      <c r="J669" s="2">
        <v>6289.07</v>
      </c>
      <c r="K669" s="6">
        <v>1</v>
      </c>
      <c r="L669" t="s">
        <v>20</v>
      </c>
      <c r="M669" s="3">
        <f t="shared" si="21"/>
        <v>0</v>
      </c>
      <c r="N669" s="9" t="str" cm="1">
        <f t="array" ref="N669">_xlfn.IFS(C669&lt;18,"Under 18",C669&lt;36,"18-35",C669&lt;51,"36-50",C669&lt;66,"51-65",C669&gt;=66,"Above 65")</f>
        <v>36-50</v>
      </c>
      <c r="O669" s="6"/>
    </row>
    <row r="670" spans="1:15" x14ac:dyDescent="0.35">
      <c r="A670" t="s">
        <v>1247</v>
      </c>
      <c r="B670" t="s">
        <v>1248</v>
      </c>
      <c r="C670">
        <v>45</v>
      </c>
      <c r="D670" t="s">
        <v>18</v>
      </c>
      <c r="E670" s="5">
        <v>45661</v>
      </c>
      <c r="F670" s="5">
        <v>45664</v>
      </c>
      <c r="G670">
        <f t="shared" si="20"/>
        <v>3</v>
      </c>
      <c r="H670" t="s">
        <v>70</v>
      </c>
      <c r="I670" t="s">
        <v>295</v>
      </c>
      <c r="J670" s="2">
        <v>4517.8599999999997</v>
      </c>
      <c r="K670" s="6">
        <v>0.8</v>
      </c>
      <c r="L670" t="s">
        <v>20</v>
      </c>
      <c r="M670" s="3">
        <f t="shared" si="21"/>
        <v>0</v>
      </c>
      <c r="N670" s="9" t="str" cm="1">
        <f t="array" ref="N670">_xlfn.IFS(C670&lt;18,"Under 18",C670&lt;36,"18-35",C670&lt;51,"36-50",C670&lt;66,"51-65",C670&gt;=66,"Above 65")</f>
        <v>36-50</v>
      </c>
      <c r="O670" s="6"/>
    </row>
    <row r="671" spans="1:15" x14ac:dyDescent="0.35">
      <c r="A671" t="s">
        <v>1249</v>
      </c>
      <c r="B671" t="s">
        <v>932</v>
      </c>
      <c r="C671">
        <v>13</v>
      </c>
      <c r="D671" t="s">
        <v>18</v>
      </c>
      <c r="E671" s="5">
        <v>45493</v>
      </c>
      <c r="F671" s="5">
        <v>45495</v>
      </c>
      <c r="G671">
        <f t="shared" si="20"/>
        <v>2</v>
      </c>
      <c r="H671" t="s">
        <v>49</v>
      </c>
      <c r="I671" t="s">
        <v>120</v>
      </c>
      <c r="J671" s="2">
        <v>3226.45</v>
      </c>
      <c r="K671" s="6">
        <v>0.9</v>
      </c>
      <c r="L671" t="s">
        <v>15</v>
      </c>
      <c r="M671" s="3">
        <f t="shared" si="21"/>
        <v>3226.45</v>
      </c>
      <c r="N671" s="9" t="str" cm="1">
        <f t="array" ref="N671">_xlfn.IFS(C671&lt;18,"Under 18",C671&lt;36,"18-35",C671&lt;51,"36-50",C671&lt;66,"51-65",C671&gt;=66,"Above 65")</f>
        <v>Under 18</v>
      </c>
      <c r="O671" s="6"/>
    </row>
    <row r="672" spans="1:15" x14ac:dyDescent="0.35">
      <c r="A672" t="s">
        <v>1250</v>
      </c>
      <c r="B672" t="s">
        <v>139</v>
      </c>
      <c r="C672">
        <v>2</v>
      </c>
      <c r="D672" t="s">
        <v>18</v>
      </c>
      <c r="E672" s="5">
        <v>45369</v>
      </c>
      <c r="F672" s="5">
        <v>45371</v>
      </c>
      <c r="G672">
        <f t="shared" si="20"/>
        <v>2</v>
      </c>
      <c r="H672" t="s">
        <v>49</v>
      </c>
      <c r="I672" t="s">
        <v>378</v>
      </c>
      <c r="J672" s="2">
        <v>1704.46</v>
      </c>
      <c r="K672" s="6">
        <v>0.6</v>
      </c>
      <c r="L672" t="s">
        <v>20</v>
      </c>
      <c r="M672" s="3">
        <f t="shared" si="21"/>
        <v>0</v>
      </c>
      <c r="N672" s="9" t="str" cm="1">
        <f t="array" ref="N672">_xlfn.IFS(C672&lt;18,"Under 18",C672&lt;36,"18-35",C672&lt;51,"36-50",C672&lt;66,"51-65",C672&gt;=66,"Above 65")</f>
        <v>Under 18</v>
      </c>
      <c r="O672" s="6"/>
    </row>
    <row r="673" spans="1:15" x14ac:dyDescent="0.35">
      <c r="A673" t="s">
        <v>1251</v>
      </c>
      <c r="B673" t="s">
        <v>1024</v>
      </c>
      <c r="C673">
        <v>55</v>
      </c>
      <c r="D673" t="s">
        <v>12</v>
      </c>
      <c r="E673" s="5">
        <v>45855</v>
      </c>
      <c r="F673" s="5">
        <v>45856</v>
      </c>
      <c r="G673">
        <f t="shared" si="20"/>
        <v>1</v>
      </c>
      <c r="H673" t="s">
        <v>31</v>
      </c>
      <c r="I673" t="s">
        <v>87</v>
      </c>
      <c r="J673" s="2">
        <v>921.05</v>
      </c>
      <c r="K673" s="6">
        <v>0.7</v>
      </c>
      <c r="L673" t="s">
        <v>25</v>
      </c>
      <c r="M673" s="3">
        <f t="shared" si="21"/>
        <v>0</v>
      </c>
      <c r="N673" s="9" t="str" cm="1">
        <f t="array" ref="N673">_xlfn.IFS(C673&lt;18,"Under 18",C673&lt;36,"18-35",C673&lt;51,"36-50",C673&lt;66,"51-65",C673&gt;=66,"Above 65")</f>
        <v>51-65</v>
      </c>
      <c r="O673" s="6"/>
    </row>
    <row r="674" spans="1:15" x14ac:dyDescent="0.35">
      <c r="A674" t="s">
        <v>1252</v>
      </c>
      <c r="B674" t="s">
        <v>1253</v>
      </c>
      <c r="C674">
        <v>78</v>
      </c>
      <c r="D674" t="s">
        <v>18</v>
      </c>
      <c r="E674" s="5">
        <v>45404</v>
      </c>
      <c r="F674" s="5">
        <v>45411</v>
      </c>
      <c r="G674">
        <f t="shared" si="20"/>
        <v>7</v>
      </c>
      <c r="H674" t="s">
        <v>31</v>
      </c>
      <c r="I674" t="s">
        <v>114</v>
      </c>
      <c r="J674" s="2">
        <v>3751.44</v>
      </c>
      <c r="K674" s="6">
        <v>0.8</v>
      </c>
      <c r="L674" t="s">
        <v>15</v>
      </c>
      <c r="M674" s="3">
        <f t="shared" si="21"/>
        <v>3751.44</v>
      </c>
      <c r="N674" s="9" t="str" cm="1">
        <f t="array" ref="N674">_xlfn.IFS(C674&lt;18,"Under 18",C674&lt;36,"18-35",C674&lt;51,"36-50",C674&lt;66,"51-65",C674&gt;=66,"Above 65")</f>
        <v>Above 65</v>
      </c>
      <c r="O674" s="6"/>
    </row>
    <row r="675" spans="1:15" x14ac:dyDescent="0.35">
      <c r="A675" t="s">
        <v>1254</v>
      </c>
      <c r="B675" t="s">
        <v>1255</v>
      </c>
      <c r="C675">
        <v>73</v>
      </c>
      <c r="D675" t="s">
        <v>12</v>
      </c>
      <c r="E675" s="5">
        <v>45855</v>
      </c>
      <c r="F675" s="5">
        <v>45859</v>
      </c>
      <c r="G675">
        <f t="shared" si="20"/>
        <v>4</v>
      </c>
      <c r="H675" t="s">
        <v>31</v>
      </c>
      <c r="I675" t="s">
        <v>35</v>
      </c>
      <c r="J675" s="2">
        <v>5182.1499999999996</v>
      </c>
      <c r="K675" s="6">
        <v>0.7</v>
      </c>
      <c r="L675" t="s">
        <v>25</v>
      </c>
      <c r="M675" s="3">
        <f t="shared" si="21"/>
        <v>0</v>
      </c>
      <c r="N675" s="9" t="str" cm="1">
        <f t="array" ref="N675">_xlfn.IFS(C675&lt;18,"Under 18",C675&lt;36,"18-35",C675&lt;51,"36-50",C675&lt;66,"51-65",C675&gt;=66,"Above 65")</f>
        <v>Above 65</v>
      </c>
      <c r="O675" s="6"/>
    </row>
    <row r="676" spans="1:15" x14ac:dyDescent="0.35">
      <c r="A676" t="s">
        <v>1256</v>
      </c>
      <c r="B676" t="s">
        <v>384</v>
      </c>
      <c r="C676">
        <v>57</v>
      </c>
      <c r="D676" t="s">
        <v>12</v>
      </c>
      <c r="E676" s="5">
        <v>45965</v>
      </c>
      <c r="F676" s="5">
        <v>45971</v>
      </c>
      <c r="G676">
        <f t="shared" si="20"/>
        <v>6</v>
      </c>
      <c r="H676" t="s">
        <v>13</v>
      </c>
      <c r="I676" t="s">
        <v>14</v>
      </c>
      <c r="J676" s="2">
        <v>13365.24</v>
      </c>
      <c r="K676" s="6">
        <v>0.7</v>
      </c>
      <c r="L676" t="s">
        <v>25</v>
      </c>
      <c r="M676" s="3">
        <f t="shared" si="21"/>
        <v>0</v>
      </c>
      <c r="N676" s="9" t="str" cm="1">
        <f t="array" ref="N676">_xlfn.IFS(C676&lt;18,"Under 18",C676&lt;36,"18-35",C676&lt;51,"36-50",C676&lt;66,"51-65",C676&gt;=66,"Above 65")</f>
        <v>51-65</v>
      </c>
      <c r="O676" s="6"/>
    </row>
    <row r="677" spans="1:15" x14ac:dyDescent="0.35">
      <c r="A677" t="s">
        <v>1257</v>
      </c>
      <c r="B677" t="s">
        <v>1258</v>
      </c>
      <c r="C677">
        <v>75</v>
      </c>
      <c r="D677" t="s">
        <v>18</v>
      </c>
      <c r="E677" s="5">
        <v>45956</v>
      </c>
      <c r="F677" s="5">
        <v>45967</v>
      </c>
      <c r="G677">
        <f t="shared" si="20"/>
        <v>11</v>
      </c>
      <c r="H677" t="s">
        <v>60</v>
      </c>
      <c r="I677" t="s">
        <v>97</v>
      </c>
      <c r="J677" s="2">
        <v>14351.59</v>
      </c>
      <c r="K677" s="6">
        <v>0.5</v>
      </c>
      <c r="L677" t="s">
        <v>15</v>
      </c>
      <c r="M677" s="3">
        <f t="shared" si="21"/>
        <v>14351.59</v>
      </c>
      <c r="N677" s="9" t="str" cm="1">
        <f t="array" ref="N677">_xlfn.IFS(C677&lt;18,"Under 18",C677&lt;36,"18-35",C677&lt;51,"36-50",C677&lt;66,"51-65",C677&gt;=66,"Above 65")</f>
        <v>Above 65</v>
      </c>
      <c r="O677" s="6"/>
    </row>
    <row r="678" spans="1:15" x14ac:dyDescent="0.35">
      <c r="A678" t="s">
        <v>1259</v>
      </c>
      <c r="B678" t="s">
        <v>1236</v>
      </c>
      <c r="C678">
        <v>2</v>
      </c>
      <c r="D678" t="s">
        <v>12</v>
      </c>
      <c r="E678" s="5">
        <v>45814</v>
      </c>
      <c r="F678" s="5">
        <v>45815</v>
      </c>
      <c r="G678">
        <f t="shared" si="20"/>
        <v>1</v>
      </c>
      <c r="H678" t="s">
        <v>49</v>
      </c>
      <c r="I678" t="s">
        <v>120</v>
      </c>
      <c r="J678" s="2">
        <v>1340.39</v>
      </c>
      <c r="K678" s="6">
        <v>0.8</v>
      </c>
      <c r="L678" t="s">
        <v>25</v>
      </c>
      <c r="M678" s="3">
        <f t="shared" si="21"/>
        <v>0</v>
      </c>
      <c r="N678" s="9" t="str" cm="1">
        <f t="array" ref="N678">_xlfn.IFS(C678&lt;18,"Under 18",C678&lt;36,"18-35",C678&lt;51,"36-50",C678&lt;66,"51-65",C678&gt;=66,"Above 65")</f>
        <v>Under 18</v>
      </c>
      <c r="O678" s="6"/>
    </row>
    <row r="679" spans="1:15" x14ac:dyDescent="0.35">
      <c r="A679" t="s">
        <v>1260</v>
      </c>
      <c r="B679" t="s">
        <v>1261</v>
      </c>
      <c r="C679">
        <v>61</v>
      </c>
      <c r="D679" t="s">
        <v>12</v>
      </c>
      <c r="E679" s="5">
        <v>45900</v>
      </c>
      <c r="F679" s="5">
        <v>45902</v>
      </c>
      <c r="G679">
        <f t="shared" si="20"/>
        <v>2</v>
      </c>
      <c r="H679" t="s">
        <v>31</v>
      </c>
      <c r="I679" t="s">
        <v>234</v>
      </c>
      <c r="J679" s="2">
        <v>2477.89</v>
      </c>
      <c r="K679" s="6">
        <v>0.8</v>
      </c>
      <c r="L679" t="s">
        <v>20</v>
      </c>
      <c r="M679" s="3">
        <f t="shared" si="21"/>
        <v>0</v>
      </c>
      <c r="N679" s="9" t="str" cm="1">
        <f t="array" ref="N679">_xlfn.IFS(C679&lt;18,"Under 18",C679&lt;36,"18-35",C679&lt;51,"36-50",C679&lt;66,"51-65",C679&gt;=66,"Above 65")</f>
        <v>51-65</v>
      </c>
      <c r="O679" s="6"/>
    </row>
    <row r="680" spans="1:15" x14ac:dyDescent="0.35">
      <c r="A680" t="s">
        <v>1262</v>
      </c>
      <c r="B680" t="s">
        <v>735</v>
      </c>
      <c r="C680">
        <v>6</v>
      </c>
      <c r="D680" t="s">
        <v>18</v>
      </c>
      <c r="E680" s="5">
        <v>45981</v>
      </c>
      <c r="F680" s="5">
        <v>45983</v>
      </c>
      <c r="G680">
        <f t="shared" si="20"/>
        <v>2</v>
      </c>
      <c r="H680" t="s">
        <v>49</v>
      </c>
      <c r="I680" t="s">
        <v>130</v>
      </c>
      <c r="J680" s="2">
        <v>1871.78</v>
      </c>
      <c r="K680" s="6">
        <v>0.8</v>
      </c>
      <c r="L680" t="s">
        <v>20</v>
      </c>
      <c r="M680" s="3">
        <f t="shared" si="21"/>
        <v>0</v>
      </c>
      <c r="N680" s="9" t="str" cm="1">
        <f t="array" ref="N680">_xlfn.IFS(C680&lt;18,"Under 18",C680&lt;36,"18-35",C680&lt;51,"36-50",C680&lt;66,"51-65",C680&gt;=66,"Above 65")</f>
        <v>Under 18</v>
      </c>
      <c r="O680" s="6"/>
    </row>
    <row r="681" spans="1:15" x14ac:dyDescent="0.35">
      <c r="A681" t="s">
        <v>1263</v>
      </c>
      <c r="B681" t="s">
        <v>1264</v>
      </c>
      <c r="C681">
        <v>36</v>
      </c>
      <c r="D681" t="s">
        <v>18</v>
      </c>
      <c r="E681" s="5">
        <v>45495</v>
      </c>
      <c r="F681" s="5">
        <v>45497</v>
      </c>
      <c r="G681">
        <f t="shared" si="20"/>
        <v>2</v>
      </c>
      <c r="H681" t="s">
        <v>23</v>
      </c>
      <c r="I681" t="s">
        <v>204</v>
      </c>
      <c r="J681" s="2">
        <v>3205.01</v>
      </c>
      <c r="K681" s="6">
        <v>0.7</v>
      </c>
      <c r="L681" t="s">
        <v>15</v>
      </c>
      <c r="M681" s="3">
        <f t="shared" si="21"/>
        <v>3205.01</v>
      </c>
      <c r="N681" s="9" t="str" cm="1">
        <f t="array" ref="N681">_xlfn.IFS(C681&lt;18,"Under 18",C681&lt;36,"18-35",C681&lt;51,"36-50",C681&lt;66,"51-65",C681&gt;=66,"Above 65")</f>
        <v>36-50</v>
      </c>
      <c r="O681" s="6"/>
    </row>
    <row r="682" spans="1:15" x14ac:dyDescent="0.35">
      <c r="A682" t="s">
        <v>1265</v>
      </c>
      <c r="B682" t="s">
        <v>1266</v>
      </c>
      <c r="C682">
        <v>52</v>
      </c>
      <c r="D682" t="s">
        <v>18</v>
      </c>
      <c r="E682" s="5">
        <v>45726</v>
      </c>
      <c r="F682" s="5">
        <v>45727</v>
      </c>
      <c r="G682">
        <f t="shared" si="20"/>
        <v>1</v>
      </c>
      <c r="H682" t="s">
        <v>31</v>
      </c>
      <c r="I682" t="s">
        <v>44</v>
      </c>
      <c r="J682" s="2">
        <v>1148.98</v>
      </c>
      <c r="K682" s="6">
        <v>0.5</v>
      </c>
      <c r="L682" t="s">
        <v>25</v>
      </c>
      <c r="M682" s="3">
        <f t="shared" si="21"/>
        <v>0</v>
      </c>
      <c r="N682" s="9" t="str" cm="1">
        <f t="array" ref="N682">_xlfn.IFS(C682&lt;18,"Under 18",C682&lt;36,"18-35",C682&lt;51,"36-50",C682&lt;66,"51-65",C682&gt;=66,"Above 65")</f>
        <v>51-65</v>
      </c>
      <c r="O682" s="6"/>
    </row>
    <row r="683" spans="1:15" x14ac:dyDescent="0.35">
      <c r="A683" t="s">
        <v>1267</v>
      </c>
      <c r="B683" t="s">
        <v>1268</v>
      </c>
      <c r="C683">
        <v>6</v>
      </c>
      <c r="D683" t="s">
        <v>18</v>
      </c>
      <c r="E683" s="5">
        <v>45952</v>
      </c>
      <c r="F683" s="5">
        <v>45954</v>
      </c>
      <c r="G683">
        <f t="shared" si="20"/>
        <v>2</v>
      </c>
      <c r="H683" t="s">
        <v>49</v>
      </c>
      <c r="I683" t="s">
        <v>130</v>
      </c>
      <c r="J683" s="2">
        <v>2502.7199999999998</v>
      </c>
      <c r="K683" s="6">
        <v>0.8</v>
      </c>
      <c r="L683" t="s">
        <v>15</v>
      </c>
      <c r="M683" s="3">
        <f t="shared" si="21"/>
        <v>2502.7199999999998</v>
      </c>
      <c r="N683" s="9" t="str" cm="1">
        <f t="array" ref="N683">_xlfn.IFS(C683&lt;18,"Under 18",C683&lt;36,"18-35",C683&lt;51,"36-50",C683&lt;66,"51-65",C683&gt;=66,"Above 65")</f>
        <v>Under 18</v>
      </c>
      <c r="O683" s="6"/>
    </row>
    <row r="684" spans="1:15" x14ac:dyDescent="0.35">
      <c r="A684" t="s">
        <v>1269</v>
      </c>
      <c r="B684" t="s">
        <v>1109</v>
      </c>
      <c r="C684">
        <v>68</v>
      </c>
      <c r="D684" t="s">
        <v>12</v>
      </c>
      <c r="E684" s="5">
        <v>45652</v>
      </c>
      <c r="F684" s="5">
        <v>45662</v>
      </c>
      <c r="G684">
        <f t="shared" si="20"/>
        <v>10</v>
      </c>
      <c r="H684" t="s">
        <v>60</v>
      </c>
      <c r="I684" t="s">
        <v>97</v>
      </c>
      <c r="J684" s="2">
        <v>23367.19</v>
      </c>
      <c r="K684" s="6">
        <v>0.8</v>
      </c>
      <c r="L684" t="s">
        <v>25</v>
      </c>
      <c r="M684" s="3">
        <f t="shared" si="21"/>
        <v>0</v>
      </c>
      <c r="N684" s="9" t="str" cm="1">
        <f t="array" ref="N684">_xlfn.IFS(C684&lt;18,"Under 18",C684&lt;36,"18-35",C684&lt;51,"36-50",C684&lt;66,"51-65",C684&gt;=66,"Above 65")</f>
        <v>Above 65</v>
      </c>
      <c r="O684" s="6"/>
    </row>
    <row r="685" spans="1:15" x14ac:dyDescent="0.35">
      <c r="A685" t="s">
        <v>1270</v>
      </c>
      <c r="B685" t="s">
        <v>1271</v>
      </c>
      <c r="C685">
        <v>54</v>
      </c>
      <c r="D685" t="s">
        <v>12</v>
      </c>
      <c r="E685" s="5">
        <v>45917</v>
      </c>
      <c r="F685" s="5">
        <v>45929</v>
      </c>
      <c r="G685">
        <f t="shared" si="20"/>
        <v>12</v>
      </c>
      <c r="H685" t="s">
        <v>60</v>
      </c>
      <c r="I685" t="s">
        <v>77</v>
      </c>
      <c r="J685" s="2">
        <v>14220.87</v>
      </c>
      <c r="K685" s="6">
        <v>0.8</v>
      </c>
      <c r="L685" t="s">
        <v>15</v>
      </c>
      <c r="M685" s="3">
        <f t="shared" si="21"/>
        <v>14220.87</v>
      </c>
      <c r="N685" s="9" t="str" cm="1">
        <f t="array" ref="N685">_xlfn.IFS(C685&lt;18,"Under 18",C685&lt;36,"18-35",C685&lt;51,"36-50",C685&lt;66,"51-65",C685&gt;=66,"Above 65")</f>
        <v>51-65</v>
      </c>
      <c r="O685" s="6"/>
    </row>
    <row r="686" spans="1:15" x14ac:dyDescent="0.35">
      <c r="A686" t="s">
        <v>1272</v>
      </c>
      <c r="B686" t="s">
        <v>975</v>
      </c>
      <c r="C686">
        <v>7</v>
      </c>
      <c r="D686" t="s">
        <v>12</v>
      </c>
      <c r="E686" s="5">
        <v>45738</v>
      </c>
      <c r="F686" s="5">
        <v>45741</v>
      </c>
      <c r="G686">
        <f t="shared" si="20"/>
        <v>3</v>
      </c>
      <c r="H686" t="s">
        <v>49</v>
      </c>
      <c r="I686" t="s">
        <v>120</v>
      </c>
      <c r="J686" s="2">
        <v>2954.11</v>
      </c>
      <c r="K686" s="6">
        <v>0.8</v>
      </c>
      <c r="L686" t="s">
        <v>15</v>
      </c>
      <c r="M686" s="3">
        <f t="shared" si="21"/>
        <v>2954.11</v>
      </c>
      <c r="N686" s="9" t="str" cm="1">
        <f t="array" ref="N686">_xlfn.IFS(C686&lt;18,"Under 18",C686&lt;36,"18-35",C686&lt;51,"36-50",C686&lt;66,"51-65",C686&gt;=66,"Above 65")</f>
        <v>Under 18</v>
      </c>
      <c r="O686" s="6"/>
    </row>
    <row r="687" spans="1:15" x14ac:dyDescent="0.35">
      <c r="A687" t="s">
        <v>1273</v>
      </c>
      <c r="B687" t="s">
        <v>969</v>
      </c>
      <c r="C687">
        <v>17</v>
      </c>
      <c r="D687" t="s">
        <v>18</v>
      </c>
      <c r="E687" s="5">
        <v>45984</v>
      </c>
      <c r="F687" s="5">
        <v>45985</v>
      </c>
      <c r="G687">
        <f t="shared" si="20"/>
        <v>1</v>
      </c>
      <c r="H687" t="s">
        <v>49</v>
      </c>
      <c r="I687" t="s">
        <v>130</v>
      </c>
      <c r="J687" s="2">
        <v>609.66</v>
      </c>
      <c r="K687" s="6">
        <v>0.9</v>
      </c>
      <c r="L687" t="s">
        <v>25</v>
      </c>
      <c r="M687" s="3">
        <f t="shared" si="21"/>
        <v>0</v>
      </c>
      <c r="N687" s="9" t="str" cm="1">
        <f t="array" ref="N687">_xlfn.IFS(C687&lt;18,"Under 18",C687&lt;36,"18-35",C687&lt;51,"36-50",C687&lt;66,"51-65",C687&gt;=66,"Above 65")</f>
        <v>Under 18</v>
      </c>
      <c r="O687" s="6"/>
    </row>
    <row r="688" spans="1:15" x14ac:dyDescent="0.35">
      <c r="A688" t="s">
        <v>1274</v>
      </c>
      <c r="B688" t="s">
        <v>435</v>
      </c>
      <c r="C688">
        <v>59</v>
      </c>
      <c r="D688" t="s">
        <v>12</v>
      </c>
      <c r="E688" s="5">
        <v>45967</v>
      </c>
      <c r="F688" s="5">
        <v>45971</v>
      </c>
      <c r="G688">
        <f t="shared" si="20"/>
        <v>4</v>
      </c>
      <c r="H688" t="s">
        <v>60</v>
      </c>
      <c r="I688" t="s">
        <v>133</v>
      </c>
      <c r="J688" s="2">
        <v>8093.46</v>
      </c>
      <c r="K688" s="6">
        <v>0.8</v>
      </c>
      <c r="L688" t="s">
        <v>15</v>
      </c>
      <c r="M688" s="3">
        <f t="shared" si="21"/>
        <v>8093.46</v>
      </c>
      <c r="N688" s="9" t="str" cm="1">
        <f t="array" ref="N688">_xlfn.IFS(C688&lt;18,"Under 18",C688&lt;36,"18-35",C688&lt;51,"36-50",C688&lt;66,"51-65",C688&gt;=66,"Above 65")</f>
        <v>51-65</v>
      </c>
      <c r="O688" s="6"/>
    </row>
    <row r="689" spans="1:15" x14ac:dyDescent="0.35">
      <c r="A689" t="s">
        <v>1275</v>
      </c>
      <c r="B689" t="s">
        <v>1276</v>
      </c>
      <c r="C689">
        <v>81</v>
      </c>
      <c r="D689" t="s">
        <v>12</v>
      </c>
      <c r="E689" s="5">
        <v>45746</v>
      </c>
      <c r="F689" s="5">
        <v>45747</v>
      </c>
      <c r="G689">
        <f t="shared" si="20"/>
        <v>1</v>
      </c>
      <c r="H689" t="s">
        <v>23</v>
      </c>
      <c r="I689" t="s">
        <v>333</v>
      </c>
      <c r="J689" s="2">
        <v>2072.19</v>
      </c>
      <c r="K689" s="6">
        <v>0.6</v>
      </c>
      <c r="L689" t="s">
        <v>25</v>
      </c>
      <c r="M689" s="3">
        <f t="shared" si="21"/>
        <v>0</v>
      </c>
      <c r="N689" s="9" t="str" cm="1">
        <f t="array" ref="N689">_xlfn.IFS(C689&lt;18,"Under 18",C689&lt;36,"18-35",C689&lt;51,"36-50",C689&lt;66,"51-65",C689&gt;=66,"Above 65")</f>
        <v>Above 65</v>
      </c>
      <c r="O689" s="6"/>
    </row>
    <row r="690" spans="1:15" x14ac:dyDescent="0.35">
      <c r="A690" t="s">
        <v>1277</v>
      </c>
      <c r="B690" t="s">
        <v>1278</v>
      </c>
      <c r="C690">
        <v>21</v>
      </c>
      <c r="D690" t="s">
        <v>18</v>
      </c>
      <c r="E690" s="5">
        <v>46003</v>
      </c>
      <c r="F690" s="5">
        <v>46005</v>
      </c>
      <c r="G690">
        <f t="shared" si="20"/>
        <v>2</v>
      </c>
      <c r="H690" t="s">
        <v>23</v>
      </c>
      <c r="I690" t="s">
        <v>82</v>
      </c>
      <c r="J690" s="2">
        <v>1895.35</v>
      </c>
      <c r="K690" s="6">
        <v>0.5</v>
      </c>
      <c r="L690" t="s">
        <v>20</v>
      </c>
      <c r="M690" s="3">
        <f t="shared" si="21"/>
        <v>0</v>
      </c>
      <c r="N690" s="9" t="str" cm="1">
        <f t="array" ref="N690">_xlfn.IFS(C690&lt;18,"Under 18",C690&lt;36,"18-35",C690&lt;51,"36-50",C690&lt;66,"51-65",C690&gt;=66,"Above 65")</f>
        <v>18-35</v>
      </c>
      <c r="O690" s="6"/>
    </row>
    <row r="691" spans="1:15" x14ac:dyDescent="0.35">
      <c r="A691" t="s">
        <v>1279</v>
      </c>
      <c r="B691" t="s">
        <v>1280</v>
      </c>
      <c r="C691">
        <v>32</v>
      </c>
      <c r="D691" t="s">
        <v>12</v>
      </c>
      <c r="E691" s="5">
        <v>45995</v>
      </c>
      <c r="F691" s="5">
        <v>45996</v>
      </c>
      <c r="G691">
        <f t="shared" si="20"/>
        <v>1</v>
      </c>
      <c r="H691" t="s">
        <v>31</v>
      </c>
      <c r="I691" t="s">
        <v>35</v>
      </c>
      <c r="J691" s="2">
        <v>1195.19</v>
      </c>
      <c r="K691" s="6">
        <v>1</v>
      </c>
      <c r="L691" t="s">
        <v>15</v>
      </c>
      <c r="M691" s="3">
        <f t="shared" si="21"/>
        <v>1195.19</v>
      </c>
      <c r="N691" s="9" t="str" cm="1">
        <f t="array" ref="N691">_xlfn.IFS(C691&lt;18,"Under 18",C691&lt;36,"18-35",C691&lt;51,"36-50",C691&lt;66,"51-65",C691&gt;=66,"Above 65")</f>
        <v>18-35</v>
      </c>
      <c r="O691" s="6"/>
    </row>
    <row r="692" spans="1:15" x14ac:dyDescent="0.35">
      <c r="A692" t="s">
        <v>1281</v>
      </c>
      <c r="B692" t="s">
        <v>1282</v>
      </c>
      <c r="C692">
        <v>59</v>
      </c>
      <c r="D692" t="s">
        <v>12</v>
      </c>
      <c r="E692" s="5">
        <v>45953</v>
      </c>
      <c r="F692" s="5">
        <v>45956</v>
      </c>
      <c r="G692">
        <f t="shared" si="20"/>
        <v>3</v>
      </c>
      <c r="H692" t="s">
        <v>23</v>
      </c>
      <c r="I692" t="s">
        <v>41</v>
      </c>
      <c r="J692" s="2">
        <v>6880.53</v>
      </c>
      <c r="K692" s="6">
        <v>0.9</v>
      </c>
      <c r="L692" t="s">
        <v>20</v>
      </c>
      <c r="M692" s="3">
        <f t="shared" si="21"/>
        <v>0</v>
      </c>
      <c r="N692" s="9" t="str" cm="1">
        <f t="array" ref="N692">_xlfn.IFS(C692&lt;18,"Under 18",C692&lt;36,"18-35",C692&lt;51,"36-50",C692&lt;66,"51-65",C692&gt;=66,"Above 65")</f>
        <v>51-65</v>
      </c>
      <c r="O692" s="6"/>
    </row>
    <row r="693" spans="1:15" x14ac:dyDescent="0.35">
      <c r="A693" t="s">
        <v>1283</v>
      </c>
      <c r="B693" t="s">
        <v>150</v>
      </c>
      <c r="C693">
        <v>3</v>
      </c>
      <c r="D693" t="s">
        <v>18</v>
      </c>
      <c r="E693" s="5">
        <v>45782</v>
      </c>
      <c r="F693" s="5">
        <v>45787</v>
      </c>
      <c r="G693">
        <f t="shared" si="20"/>
        <v>5</v>
      </c>
      <c r="H693" t="s">
        <v>49</v>
      </c>
      <c r="I693" t="s">
        <v>50</v>
      </c>
      <c r="J693" s="2">
        <v>8731.85</v>
      </c>
      <c r="K693" s="6">
        <v>1</v>
      </c>
      <c r="L693" t="s">
        <v>20</v>
      </c>
      <c r="M693" s="3">
        <f t="shared" si="21"/>
        <v>0</v>
      </c>
      <c r="N693" s="9" t="str" cm="1">
        <f t="array" ref="N693">_xlfn.IFS(C693&lt;18,"Under 18",C693&lt;36,"18-35",C693&lt;51,"36-50",C693&lt;66,"51-65",C693&gt;=66,"Above 65")</f>
        <v>Under 18</v>
      </c>
      <c r="O693" s="6"/>
    </row>
    <row r="694" spans="1:15" x14ac:dyDescent="0.35">
      <c r="A694" t="s">
        <v>1284</v>
      </c>
      <c r="B694" t="s">
        <v>827</v>
      </c>
      <c r="C694">
        <v>71</v>
      </c>
      <c r="D694" t="s">
        <v>18</v>
      </c>
      <c r="E694" s="5">
        <v>45673</v>
      </c>
      <c r="F694" s="5">
        <v>45679</v>
      </c>
      <c r="G694">
        <f t="shared" si="20"/>
        <v>6</v>
      </c>
      <c r="H694" t="s">
        <v>70</v>
      </c>
      <c r="I694" t="s">
        <v>237</v>
      </c>
      <c r="J694" s="2">
        <v>10575.02</v>
      </c>
      <c r="K694" s="6">
        <v>0.7</v>
      </c>
      <c r="L694" t="s">
        <v>20</v>
      </c>
      <c r="M694" s="3">
        <f t="shared" si="21"/>
        <v>0</v>
      </c>
      <c r="N694" s="9" t="str" cm="1">
        <f t="array" ref="N694">_xlfn.IFS(C694&lt;18,"Under 18",C694&lt;36,"18-35",C694&lt;51,"36-50",C694&lt;66,"51-65",C694&gt;=66,"Above 65")</f>
        <v>Above 65</v>
      </c>
      <c r="O694" s="6"/>
    </row>
    <row r="695" spans="1:15" x14ac:dyDescent="0.35">
      <c r="A695" t="s">
        <v>1285</v>
      </c>
      <c r="B695" t="s">
        <v>1286</v>
      </c>
      <c r="C695">
        <v>46</v>
      </c>
      <c r="D695" t="s">
        <v>18</v>
      </c>
      <c r="E695" s="5">
        <v>45645</v>
      </c>
      <c r="F695" s="5">
        <v>45648</v>
      </c>
      <c r="G695">
        <f t="shared" si="20"/>
        <v>3</v>
      </c>
      <c r="H695" t="s">
        <v>31</v>
      </c>
      <c r="I695" t="s">
        <v>87</v>
      </c>
      <c r="J695" s="2">
        <v>1975.02</v>
      </c>
      <c r="K695" s="6">
        <v>0.9</v>
      </c>
      <c r="L695" t="s">
        <v>25</v>
      </c>
      <c r="M695" s="3">
        <f t="shared" si="21"/>
        <v>0</v>
      </c>
      <c r="N695" s="9" t="str" cm="1">
        <f t="array" ref="N695">_xlfn.IFS(C695&lt;18,"Under 18",C695&lt;36,"18-35",C695&lt;51,"36-50",C695&lt;66,"51-65",C695&gt;=66,"Above 65")</f>
        <v>36-50</v>
      </c>
      <c r="O695" s="6"/>
    </row>
    <row r="696" spans="1:15" x14ac:dyDescent="0.35">
      <c r="A696" t="s">
        <v>1287</v>
      </c>
      <c r="B696" t="s">
        <v>1288</v>
      </c>
      <c r="C696">
        <v>47</v>
      </c>
      <c r="D696" t="s">
        <v>12</v>
      </c>
      <c r="E696" s="5">
        <v>45398</v>
      </c>
      <c r="F696" s="5">
        <v>45406</v>
      </c>
      <c r="G696">
        <f t="shared" si="20"/>
        <v>8</v>
      </c>
      <c r="H696" t="s">
        <v>60</v>
      </c>
      <c r="I696" t="s">
        <v>142</v>
      </c>
      <c r="J696" s="2">
        <v>14406.87</v>
      </c>
      <c r="K696" s="6">
        <v>1</v>
      </c>
      <c r="L696" t="s">
        <v>20</v>
      </c>
      <c r="M696" s="3">
        <f t="shared" si="21"/>
        <v>0</v>
      </c>
      <c r="N696" s="9" t="str" cm="1">
        <f t="array" ref="N696">_xlfn.IFS(C696&lt;18,"Under 18",C696&lt;36,"18-35",C696&lt;51,"36-50",C696&lt;66,"51-65",C696&gt;=66,"Above 65")</f>
        <v>36-50</v>
      </c>
      <c r="O696" s="6"/>
    </row>
    <row r="697" spans="1:15" x14ac:dyDescent="0.35">
      <c r="A697" t="s">
        <v>1289</v>
      </c>
      <c r="B697" t="s">
        <v>1196</v>
      </c>
      <c r="C697">
        <v>79</v>
      </c>
      <c r="D697" t="s">
        <v>18</v>
      </c>
      <c r="E697" s="5">
        <v>45912</v>
      </c>
      <c r="F697" s="5">
        <v>45917</v>
      </c>
      <c r="G697">
        <f t="shared" si="20"/>
        <v>5</v>
      </c>
      <c r="H697" t="s">
        <v>13</v>
      </c>
      <c r="I697" t="s">
        <v>165</v>
      </c>
      <c r="J697" s="2">
        <v>10285.16</v>
      </c>
      <c r="K697" s="6">
        <v>0.8</v>
      </c>
      <c r="L697" t="s">
        <v>25</v>
      </c>
      <c r="M697" s="3">
        <f t="shared" si="21"/>
        <v>0</v>
      </c>
      <c r="N697" s="9" t="str" cm="1">
        <f t="array" ref="N697">_xlfn.IFS(C697&lt;18,"Under 18",C697&lt;36,"18-35",C697&lt;51,"36-50",C697&lt;66,"51-65",C697&gt;=66,"Above 65")</f>
        <v>Above 65</v>
      </c>
      <c r="O697" s="6"/>
    </row>
    <row r="698" spans="1:15" x14ac:dyDescent="0.35">
      <c r="A698" t="s">
        <v>1290</v>
      </c>
      <c r="B698" t="s">
        <v>1291</v>
      </c>
      <c r="C698">
        <v>14</v>
      </c>
      <c r="D698" t="s">
        <v>12</v>
      </c>
      <c r="E698" s="5">
        <v>45388</v>
      </c>
      <c r="F698" s="5">
        <v>45389</v>
      </c>
      <c r="G698">
        <f t="shared" si="20"/>
        <v>1</v>
      </c>
      <c r="H698" t="s">
        <v>49</v>
      </c>
      <c r="I698" t="s">
        <v>50</v>
      </c>
      <c r="J698" s="2">
        <v>730.74</v>
      </c>
      <c r="K698" s="6">
        <v>0</v>
      </c>
      <c r="L698" t="s">
        <v>25</v>
      </c>
      <c r="M698" s="3">
        <f t="shared" si="21"/>
        <v>0</v>
      </c>
      <c r="N698" s="9" t="str" cm="1">
        <f t="array" ref="N698">_xlfn.IFS(C698&lt;18,"Under 18",C698&lt;36,"18-35",C698&lt;51,"36-50",C698&lt;66,"51-65",C698&gt;=66,"Above 65")</f>
        <v>Under 18</v>
      </c>
      <c r="O698" s="6"/>
    </row>
    <row r="699" spans="1:15" x14ac:dyDescent="0.35">
      <c r="A699" t="s">
        <v>1292</v>
      </c>
      <c r="B699" t="s">
        <v>1293</v>
      </c>
      <c r="C699">
        <v>30</v>
      </c>
      <c r="D699" t="s">
        <v>12</v>
      </c>
      <c r="E699" s="5">
        <v>45937</v>
      </c>
      <c r="F699" s="5">
        <v>45943</v>
      </c>
      <c r="G699">
        <f t="shared" si="20"/>
        <v>6</v>
      </c>
      <c r="H699" t="s">
        <v>60</v>
      </c>
      <c r="I699" t="s">
        <v>142</v>
      </c>
      <c r="J699" s="2">
        <v>12841.02</v>
      </c>
      <c r="K699" s="6">
        <v>0.7</v>
      </c>
      <c r="L699" t="s">
        <v>15</v>
      </c>
      <c r="M699" s="3">
        <f t="shared" si="21"/>
        <v>12841.02</v>
      </c>
      <c r="N699" s="9" t="str" cm="1">
        <f t="array" ref="N699">_xlfn.IFS(C699&lt;18,"Under 18",C699&lt;36,"18-35",C699&lt;51,"36-50",C699&lt;66,"51-65",C699&gt;=66,"Above 65")</f>
        <v>18-35</v>
      </c>
      <c r="O699" s="6"/>
    </row>
    <row r="700" spans="1:15" x14ac:dyDescent="0.35">
      <c r="A700" t="s">
        <v>1294</v>
      </c>
      <c r="B700" t="s">
        <v>1295</v>
      </c>
      <c r="C700">
        <v>71</v>
      </c>
      <c r="D700" t="s">
        <v>12</v>
      </c>
      <c r="E700" s="5">
        <v>45365</v>
      </c>
      <c r="F700" s="5">
        <v>45368</v>
      </c>
      <c r="G700">
        <f t="shared" si="20"/>
        <v>3</v>
      </c>
      <c r="H700" t="s">
        <v>70</v>
      </c>
      <c r="I700" t="s">
        <v>295</v>
      </c>
      <c r="J700" s="2">
        <v>3969.91</v>
      </c>
      <c r="K700" s="6">
        <v>0.9</v>
      </c>
      <c r="L700" t="s">
        <v>15</v>
      </c>
      <c r="M700" s="3">
        <f t="shared" si="21"/>
        <v>3969.91</v>
      </c>
      <c r="N700" s="9" t="str" cm="1">
        <f t="array" ref="N700">_xlfn.IFS(C700&lt;18,"Under 18",C700&lt;36,"18-35",C700&lt;51,"36-50",C700&lt;66,"51-65",C700&gt;=66,"Above 65")</f>
        <v>Above 65</v>
      </c>
      <c r="O700" s="6"/>
    </row>
    <row r="701" spans="1:15" x14ac:dyDescent="0.35">
      <c r="A701" t="s">
        <v>1296</v>
      </c>
      <c r="B701" t="s">
        <v>1297</v>
      </c>
      <c r="C701">
        <v>47</v>
      </c>
      <c r="D701" t="s">
        <v>12</v>
      </c>
      <c r="E701" s="5">
        <v>45910</v>
      </c>
      <c r="F701" s="5">
        <v>45913</v>
      </c>
      <c r="G701">
        <f t="shared" si="20"/>
        <v>3</v>
      </c>
      <c r="H701" t="s">
        <v>31</v>
      </c>
      <c r="I701" t="s">
        <v>32</v>
      </c>
      <c r="J701" s="2">
        <v>3558.48</v>
      </c>
      <c r="K701" s="6">
        <v>0.9</v>
      </c>
      <c r="L701" t="s">
        <v>20</v>
      </c>
      <c r="M701" s="3">
        <f t="shared" si="21"/>
        <v>0</v>
      </c>
      <c r="N701" s="9" t="str" cm="1">
        <f t="array" ref="N701">_xlfn.IFS(C701&lt;18,"Under 18",C701&lt;36,"18-35",C701&lt;51,"36-50",C701&lt;66,"51-65",C701&gt;=66,"Above 65")</f>
        <v>36-50</v>
      </c>
      <c r="O701" s="6"/>
    </row>
    <row r="702" spans="1:15" x14ac:dyDescent="0.35">
      <c r="A702" t="s">
        <v>1298</v>
      </c>
      <c r="B702" t="s">
        <v>1299</v>
      </c>
      <c r="C702">
        <v>35</v>
      </c>
      <c r="D702" t="s">
        <v>12</v>
      </c>
      <c r="E702" s="5">
        <v>45647</v>
      </c>
      <c r="F702" s="5">
        <v>45649</v>
      </c>
      <c r="G702">
        <f t="shared" si="20"/>
        <v>2</v>
      </c>
      <c r="H702" t="s">
        <v>23</v>
      </c>
      <c r="I702" t="s">
        <v>28</v>
      </c>
      <c r="J702" s="2">
        <v>2492.36</v>
      </c>
      <c r="K702" s="6">
        <v>0.9</v>
      </c>
      <c r="L702" t="s">
        <v>25</v>
      </c>
      <c r="M702" s="3">
        <f t="shared" si="21"/>
        <v>0</v>
      </c>
      <c r="N702" s="9" t="str" cm="1">
        <f t="array" ref="N702">_xlfn.IFS(C702&lt;18,"Under 18",C702&lt;36,"18-35",C702&lt;51,"36-50",C702&lt;66,"51-65",C702&gt;=66,"Above 65")</f>
        <v>18-35</v>
      </c>
      <c r="O702" s="6"/>
    </row>
    <row r="703" spans="1:15" x14ac:dyDescent="0.35">
      <c r="A703" t="s">
        <v>1300</v>
      </c>
      <c r="B703" t="s">
        <v>1301</v>
      </c>
      <c r="C703">
        <v>64</v>
      </c>
      <c r="D703" t="s">
        <v>12</v>
      </c>
      <c r="E703" s="5">
        <v>45752</v>
      </c>
      <c r="F703" s="5">
        <v>45755</v>
      </c>
      <c r="G703">
        <f t="shared" si="20"/>
        <v>3</v>
      </c>
      <c r="H703" t="s">
        <v>31</v>
      </c>
      <c r="I703" t="s">
        <v>234</v>
      </c>
      <c r="J703" s="2">
        <v>2931.95</v>
      </c>
      <c r="K703" s="6">
        <v>1</v>
      </c>
      <c r="L703" t="s">
        <v>15</v>
      </c>
      <c r="M703" s="3">
        <f t="shared" si="21"/>
        <v>2931.95</v>
      </c>
      <c r="N703" s="9" t="str" cm="1">
        <f t="array" ref="N703">_xlfn.IFS(C703&lt;18,"Under 18",C703&lt;36,"18-35",C703&lt;51,"36-50",C703&lt;66,"51-65",C703&gt;=66,"Above 65")</f>
        <v>51-65</v>
      </c>
      <c r="O703" s="6"/>
    </row>
    <row r="704" spans="1:15" x14ac:dyDescent="0.35">
      <c r="A704" t="s">
        <v>1302</v>
      </c>
      <c r="B704" t="s">
        <v>1303</v>
      </c>
      <c r="C704">
        <v>39</v>
      </c>
      <c r="D704" t="s">
        <v>18</v>
      </c>
      <c r="E704" s="5">
        <v>45634</v>
      </c>
      <c r="F704" s="5">
        <v>45636</v>
      </c>
      <c r="G704">
        <f t="shared" si="20"/>
        <v>2</v>
      </c>
      <c r="H704" t="s">
        <v>23</v>
      </c>
      <c r="I704" t="s">
        <v>204</v>
      </c>
      <c r="J704" s="2">
        <v>3264.79</v>
      </c>
      <c r="K704" s="6">
        <v>0.7</v>
      </c>
      <c r="L704" t="s">
        <v>15</v>
      </c>
      <c r="M704" s="3">
        <f t="shared" si="21"/>
        <v>3264.79</v>
      </c>
      <c r="N704" s="9" t="str" cm="1">
        <f t="array" ref="N704">_xlfn.IFS(C704&lt;18,"Under 18",C704&lt;36,"18-35",C704&lt;51,"36-50",C704&lt;66,"51-65",C704&gt;=66,"Above 65")</f>
        <v>36-50</v>
      </c>
      <c r="O704" s="6"/>
    </row>
    <row r="705" spans="1:15" x14ac:dyDescent="0.35">
      <c r="A705" t="s">
        <v>1304</v>
      </c>
      <c r="B705" t="s">
        <v>1305</v>
      </c>
      <c r="C705">
        <v>65</v>
      </c>
      <c r="D705" t="s">
        <v>12</v>
      </c>
      <c r="E705" s="5">
        <v>46019</v>
      </c>
      <c r="F705" s="5">
        <v>46023</v>
      </c>
      <c r="G705">
        <f t="shared" si="20"/>
        <v>4</v>
      </c>
      <c r="H705" t="s">
        <v>31</v>
      </c>
      <c r="I705" t="s">
        <v>87</v>
      </c>
      <c r="J705" s="2">
        <v>5976.06</v>
      </c>
      <c r="K705" s="6">
        <v>0.7</v>
      </c>
      <c r="L705" t="s">
        <v>20</v>
      </c>
      <c r="M705" s="3">
        <f t="shared" si="21"/>
        <v>0</v>
      </c>
      <c r="N705" s="9" t="str" cm="1">
        <f t="array" ref="N705">_xlfn.IFS(C705&lt;18,"Under 18",C705&lt;36,"18-35",C705&lt;51,"36-50",C705&lt;66,"51-65",C705&gt;=66,"Above 65")</f>
        <v>51-65</v>
      </c>
      <c r="O705" s="6"/>
    </row>
    <row r="706" spans="1:15" x14ac:dyDescent="0.35">
      <c r="A706" t="s">
        <v>1306</v>
      </c>
      <c r="B706" t="s">
        <v>843</v>
      </c>
      <c r="C706">
        <v>85</v>
      </c>
      <c r="D706" t="s">
        <v>18</v>
      </c>
      <c r="E706" s="5">
        <v>45742</v>
      </c>
      <c r="F706" s="5">
        <v>45743</v>
      </c>
      <c r="G706">
        <f t="shared" si="20"/>
        <v>1</v>
      </c>
      <c r="H706" t="s">
        <v>31</v>
      </c>
      <c r="I706" t="s">
        <v>32</v>
      </c>
      <c r="J706" s="2">
        <v>1133.0999999999999</v>
      </c>
      <c r="K706" s="6">
        <v>0.7</v>
      </c>
      <c r="L706" t="s">
        <v>20</v>
      </c>
      <c r="M706" s="3">
        <f t="shared" si="21"/>
        <v>0</v>
      </c>
      <c r="N706" s="9" t="str" cm="1">
        <f t="array" ref="N706">_xlfn.IFS(C706&lt;18,"Under 18",C706&lt;36,"18-35",C706&lt;51,"36-50",C706&lt;66,"51-65",C706&gt;=66,"Above 65")</f>
        <v>Above 65</v>
      </c>
      <c r="O706" s="6"/>
    </row>
    <row r="707" spans="1:15" x14ac:dyDescent="0.35">
      <c r="A707" t="s">
        <v>1307</v>
      </c>
      <c r="B707" t="s">
        <v>1101</v>
      </c>
      <c r="C707">
        <v>85</v>
      </c>
      <c r="D707" t="s">
        <v>12</v>
      </c>
      <c r="E707" s="5">
        <v>45897</v>
      </c>
      <c r="F707" s="5">
        <v>45899</v>
      </c>
      <c r="G707">
        <f t="shared" ref="G707:G770" si="22">DATEDIF(E707,F707,"D")</f>
        <v>2</v>
      </c>
      <c r="H707" t="s">
        <v>23</v>
      </c>
      <c r="I707" t="s">
        <v>204</v>
      </c>
      <c r="J707" s="2">
        <v>4676.38</v>
      </c>
      <c r="K707" s="6">
        <v>0.9</v>
      </c>
      <c r="L707" t="s">
        <v>15</v>
      </c>
      <c r="M707" s="3">
        <f t="shared" ref="M707:M770" si="23">IF(L707 = "Paid",J707,0)</f>
        <v>4676.38</v>
      </c>
      <c r="N707" s="9" t="str" cm="1">
        <f t="array" ref="N707">_xlfn.IFS(C707&lt;18,"Under 18",C707&lt;36,"18-35",C707&lt;51,"36-50",C707&lt;66,"51-65",C707&gt;=66,"Above 65")</f>
        <v>Above 65</v>
      </c>
      <c r="O707" s="6"/>
    </row>
    <row r="708" spans="1:15" x14ac:dyDescent="0.35">
      <c r="A708" t="s">
        <v>1308</v>
      </c>
      <c r="B708" t="s">
        <v>1034</v>
      </c>
      <c r="C708">
        <v>72</v>
      </c>
      <c r="D708" t="s">
        <v>12</v>
      </c>
      <c r="E708" s="5">
        <v>45664</v>
      </c>
      <c r="F708" s="5">
        <v>45666</v>
      </c>
      <c r="G708">
        <f t="shared" si="22"/>
        <v>2</v>
      </c>
      <c r="H708" t="s">
        <v>23</v>
      </c>
      <c r="I708" t="s">
        <v>204</v>
      </c>
      <c r="J708" s="2">
        <v>2041.86</v>
      </c>
      <c r="K708" s="6">
        <v>0.9</v>
      </c>
      <c r="L708" t="s">
        <v>15</v>
      </c>
      <c r="M708" s="3">
        <f t="shared" si="23"/>
        <v>2041.86</v>
      </c>
      <c r="N708" s="9" t="str" cm="1">
        <f t="array" ref="N708">_xlfn.IFS(C708&lt;18,"Under 18",C708&lt;36,"18-35",C708&lt;51,"36-50",C708&lt;66,"51-65",C708&gt;=66,"Above 65")</f>
        <v>Above 65</v>
      </c>
      <c r="O708" s="6"/>
    </row>
    <row r="709" spans="1:15" x14ac:dyDescent="0.35">
      <c r="A709" t="s">
        <v>1309</v>
      </c>
      <c r="B709" t="s">
        <v>973</v>
      </c>
      <c r="C709">
        <v>40</v>
      </c>
      <c r="D709" t="s">
        <v>18</v>
      </c>
      <c r="E709" s="5">
        <v>45495</v>
      </c>
      <c r="F709" s="5">
        <v>45501</v>
      </c>
      <c r="G709">
        <f t="shared" si="22"/>
        <v>6</v>
      </c>
      <c r="H709" t="s">
        <v>13</v>
      </c>
      <c r="I709" t="s">
        <v>165</v>
      </c>
      <c r="J709" s="2">
        <v>11703.16</v>
      </c>
      <c r="K709" s="6">
        <v>0.9</v>
      </c>
      <c r="L709" t="s">
        <v>15</v>
      </c>
      <c r="M709" s="3">
        <f t="shared" si="23"/>
        <v>11703.16</v>
      </c>
      <c r="N709" s="9" t="str" cm="1">
        <f t="array" ref="N709">_xlfn.IFS(C709&lt;18,"Under 18",C709&lt;36,"18-35",C709&lt;51,"36-50",C709&lt;66,"51-65",C709&gt;=66,"Above 65")</f>
        <v>36-50</v>
      </c>
      <c r="O709" s="6"/>
    </row>
    <row r="710" spans="1:15" x14ac:dyDescent="0.35">
      <c r="A710" t="s">
        <v>1310</v>
      </c>
      <c r="B710" t="s">
        <v>27</v>
      </c>
      <c r="C710">
        <v>6</v>
      </c>
      <c r="D710" t="s">
        <v>18</v>
      </c>
      <c r="E710" s="5">
        <v>45942</v>
      </c>
      <c r="F710" s="5">
        <v>45943</v>
      </c>
      <c r="G710">
        <f t="shared" si="22"/>
        <v>1</v>
      </c>
      <c r="H710" t="s">
        <v>49</v>
      </c>
      <c r="I710" t="s">
        <v>130</v>
      </c>
      <c r="J710" s="2">
        <v>1336.01</v>
      </c>
      <c r="K710" s="6">
        <v>0.8</v>
      </c>
      <c r="L710" t="s">
        <v>20</v>
      </c>
      <c r="M710" s="3">
        <f t="shared" si="23"/>
        <v>0</v>
      </c>
      <c r="N710" s="9" t="str" cm="1">
        <f t="array" ref="N710">_xlfn.IFS(C710&lt;18,"Under 18",C710&lt;36,"18-35",C710&lt;51,"36-50",C710&lt;66,"51-65",C710&gt;=66,"Above 65")</f>
        <v>Under 18</v>
      </c>
      <c r="O710" s="6"/>
    </row>
    <row r="711" spans="1:15" x14ac:dyDescent="0.35">
      <c r="A711" t="s">
        <v>1311</v>
      </c>
      <c r="B711" t="s">
        <v>1312</v>
      </c>
      <c r="C711">
        <v>81</v>
      </c>
      <c r="D711" t="s">
        <v>12</v>
      </c>
      <c r="E711" s="5">
        <v>45777</v>
      </c>
      <c r="F711" s="5">
        <v>45785</v>
      </c>
      <c r="G711">
        <f t="shared" si="22"/>
        <v>8</v>
      </c>
      <c r="H711" t="s">
        <v>13</v>
      </c>
      <c r="I711" t="s">
        <v>14</v>
      </c>
      <c r="J711" s="2">
        <v>21413.919999999998</v>
      </c>
      <c r="K711" s="6">
        <v>0.8</v>
      </c>
      <c r="L711" t="s">
        <v>15</v>
      </c>
      <c r="M711" s="3">
        <f t="shared" si="23"/>
        <v>21413.919999999998</v>
      </c>
      <c r="N711" s="9" t="str" cm="1">
        <f t="array" ref="N711">_xlfn.IFS(C711&lt;18,"Under 18",C711&lt;36,"18-35",C711&lt;51,"36-50",C711&lt;66,"51-65",C711&gt;=66,"Above 65")</f>
        <v>Above 65</v>
      </c>
      <c r="O711" s="6"/>
    </row>
    <row r="712" spans="1:15" x14ac:dyDescent="0.35">
      <c r="A712" t="s">
        <v>1313</v>
      </c>
      <c r="B712" t="s">
        <v>1210</v>
      </c>
      <c r="C712">
        <v>56</v>
      </c>
      <c r="D712" t="s">
        <v>18</v>
      </c>
      <c r="E712" s="5">
        <v>45654</v>
      </c>
      <c r="F712" s="5">
        <v>45656</v>
      </c>
      <c r="G712">
        <f t="shared" si="22"/>
        <v>2</v>
      </c>
      <c r="H712" t="s">
        <v>23</v>
      </c>
      <c r="I712" t="s">
        <v>221</v>
      </c>
      <c r="J712" s="2">
        <v>4020.17</v>
      </c>
      <c r="K712" s="6">
        <v>0.8</v>
      </c>
      <c r="L712" t="s">
        <v>25</v>
      </c>
      <c r="M712" s="3">
        <f t="shared" si="23"/>
        <v>0</v>
      </c>
      <c r="N712" s="9" t="str" cm="1">
        <f t="array" ref="N712">_xlfn.IFS(C712&lt;18,"Under 18",C712&lt;36,"18-35",C712&lt;51,"36-50",C712&lt;66,"51-65",C712&gt;=66,"Above 65")</f>
        <v>51-65</v>
      </c>
      <c r="O712" s="6"/>
    </row>
    <row r="713" spans="1:15" x14ac:dyDescent="0.35">
      <c r="A713" t="s">
        <v>1314</v>
      </c>
      <c r="B713" t="s">
        <v>1315</v>
      </c>
      <c r="C713">
        <v>66</v>
      </c>
      <c r="D713" t="s">
        <v>18</v>
      </c>
      <c r="E713" s="5">
        <v>45465</v>
      </c>
      <c r="F713" s="5">
        <v>45477</v>
      </c>
      <c r="G713">
        <f t="shared" si="22"/>
        <v>12</v>
      </c>
      <c r="H713" t="s">
        <v>60</v>
      </c>
      <c r="I713" t="s">
        <v>77</v>
      </c>
      <c r="J713" s="2">
        <v>28053.05</v>
      </c>
      <c r="K713" s="6">
        <v>0.8</v>
      </c>
      <c r="L713" t="s">
        <v>15</v>
      </c>
      <c r="M713" s="3">
        <f t="shared" si="23"/>
        <v>28053.05</v>
      </c>
      <c r="N713" s="9" t="str" cm="1">
        <f t="array" ref="N713">_xlfn.IFS(C713&lt;18,"Under 18",C713&lt;36,"18-35",C713&lt;51,"36-50",C713&lt;66,"51-65",C713&gt;=66,"Above 65")</f>
        <v>Above 65</v>
      </c>
      <c r="O713" s="6"/>
    </row>
    <row r="714" spans="1:15" x14ac:dyDescent="0.35">
      <c r="A714" t="s">
        <v>1316</v>
      </c>
      <c r="B714" t="s">
        <v>594</v>
      </c>
      <c r="C714">
        <v>34</v>
      </c>
      <c r="D714" t="s">
        <v>18</v>
      </c>
      <c r="E714" s="5">
        <v>45558</v>
      </c>
      <c r="F714" s="5">
        <v>45569</v>
      </c>
      <c r="G714">
        <f t="shared" si="22"/>
        <v>11</v>
      </c>
      <c r="H714" t="s">
        <v>70</v>
      </c>
      <c r="I714" t="s">
        <v>295</v>
      </c>
      <c r="J714" s="2">
        <v>23948.97</v>
      </c>
      <c r="K714" s="6">
        <v>1</v>
      </c>
      <c r="L714" t="s">
        <v>15</v>
      </c>
      <c r="M714" s="3">
        <f t="shared" si="23"/>
        <v>23948.97</v>
      </c>
      <c r="N714" s="9" t="str" cm="1">
        <f t="array" ref="N714">_xlfn.IFS(C714&lt;18,"Under 18",C714&lt;36,"18-35",C714&lt;51,"36-50",C714&lt;66,"51-65",C714&gt;=66,"Above 65")</f>
        <v>18-35</v>
      </c>
      <c r="O714" s="6"/>
    </row>
    <row r="715" spans="1:15" x14ac:dyDescent="0.35">
      <c r="A715" t="s">
        <v>1317</v>
      </c>
      <c r="B715" t="s">
        <v>1318</v>
      </c>
      <c r="C715">
        <v>84</v>
      </c>
      <c r="D715" t="s">
        <v>12</v>
      </c>
      <c r="E715" s="5">
        <v>45741</v>
      </c>
      <c r="F715" s="5">
        <v>45750</v>
      </c>
      <c r="G715">
        <f t="shared" si="22"/>
        <v>9</v>
      </c>
      <c r="H715" t="s">
        <v>13</v>
      </c>
      <c r="I715" t="s">
        <v>102</v>
      </c>
      <c r="J715" s="2">
        <v>23623.51</v>
      </c>
      <c r="K715" s="6">
        <v>0.9</v>
      </c>
      <c r="L715" t="s">
        <v>20</v>
      </c>
      <c r="M715" s="3">
        <f t="shared" si="23"/>
        <v>0</v>
      </c>
      <c r="N715" s="9" t="str" cm="1">
        <f t="array" ref="N715">_xlfn.IFS(C715&lt;18,"Under 18",C715&lt;36,"18-35",C715&lt;51,"36-50",C715&lt;66,"51-65",C715&gt;=66,"Above 65")</f>
        <v>Above 65</v>
      </c>
      <c r="O715" s="6"/>
    </row>
    <row r="716" spans="1:15" x14ac:dyDescent="0.35">
      <c r="A716" t="s">
        <v>1319</v>
      </c>
      <c r="B716" t="s">
        <v>1320</v>
      </c>
      <c r="C716">
        <v>34</v>
      </c>
      <c r="D716" t="s">
        <v>12</v>
      </c>
      <c r="E716" s="5">
        <v>45894</v>
      </c>
      <c r="F716" s="5">
        <v>45900</v>
      </c>
      <c r="G716">
        <f t="shared" si="22"/>
        <v>6</v>
      </c>
      <c r="H716" t="s">
        <v>70</v>
      </c>
      <c r="I716" t="s">
        <v>237</v>
      </c>
      <c r="J716" s="2">
        <v>10445.299999999999</v>
      </c>
      <c r="K716" s="6">
        <v>0.6</v>
      </c>
      <c r="L716" t="s">
        <v>25</v>
      </c>
      <c r="M716" s="3">
        <f t="shared" si="23"/>
        <v>0</v>
      </c>
      <c r="N716" s="9" t="str" cm="1">
        <f t="array" ref="N716">_xlfn.IFS(C716&lt;18,"Under 18",C716&lt;36,"18-35",C716&lt;51,"36-50",C716&lt;66,"51-65",C716&gt;=66,"Above 65")</f>
        <v>18-35</v>
      </c>
      <c r="O716" s="6"/>
    </row>
    <row r="717" spans="1:15" x14ac:dyDescent="0.35">
      <c r="A717" t="s">
        <v>1321</v>
      </c>
      <c r="B717" t="s">
        <v>1322</v>
      </c>
      <c r="C717">
        <v>51</v>
      </c>
      <c r="D717" t="s">
        <v>12</v>
      </c>
      <c r="E717" s="5">
        <v>45891</v>
      </c>
      <c r="F717" s="5">
        <v>45898</v>
      </c>
      <c r="G717">
        <f t="shared" si="22"/>
        <v>7</v>
      </c>
      <c r="H717" t="s">
        <v>60</v>
      </c>
      <c r="I717" t="s">
        <v>74</v>
      </c>
      <c r="J717" s="2">
        <v>19007.18</v>
      </c>
      <c r="K717" s="6">
        <v>0.7</v>
      </c>
      <c r="L717" t="s">
        <v>15</v>
      </c>
      <c r="M717" s="3">
        <f t="shared" si="23"/>
        <v>19007.18</v>
      </c>
      <c r="N717" s="9" t="str" cm="1">
        <f t="array" ref="N717">_xlfn.IFS(C717&lt;18,"Under 18",C717&lt;36,"18-35",C717&lt;51,"36-50",C717&lt;66,"51-65",C717&gt;=66,"Above 65")</f>
        <v>51-65</v>
      </c>
      <c r="O717" s="6"/>
    </row>
    <row r="718" spans="1:15" x14ac:dyDescent="0.35">
      <c r="A718" t="s">
        <v>1323</v>
      </c>
      <c r="B718" t="s">
        <v>358</v>
      </c>
      <c r="C718">
        <v>43</v>
      </c>
      <c r="D718" t="s">
        <v>12</v>
      </c>
      <c r="E718" s="5">
        <v>45790</v>
      </c>
      <c r="F718" s="5">
        <v>45793</v>
      </c>
      <c r="G718">
        <f t="shared" si="22"/>
        <v>3</v>
      </c>
      <c r="H718" t="s">
        <v>23</v>
      </c>
      <c r="I718" t="s">
        <v>24</v>
      </c>
      <c r="J718" s="2">
        <v>2458.7600000000002</v>
      </c>
      <c r="K718" s="6">
        <v>0.9</v>
      </c>
      <c r="L718" t="s">
        <v>15</v>
      </c>
      <c r="M718" s="3">
        <f t="shared" si="23"/>
        <v>2458.7600000000002</v>
      </c>
      <c r="N718" s="9" t="str" cm="1">
        <f t="array" ref="N718">_xlfn.IFS(C718&lt;18,"Under 18",C718&lt;36,"18-35",C718&lt;51,"36-50",C718&lt;66,"51-65",C718&gt;=66,"Above 65")</f>
        <v>36-50</v>
      </c>
      <c r="O718" s="6"/>
    </row>
    <row r="719" spans="1:15" x14ac:dyDescent="0.35">
      <c r="A719" t="s">
        <v>1324</v>
      </c>
      <c r="B719" t="s">
        <v>1325</v>
      </c>
      <c r="C719">
        <v>32</v>
      </c>
      <c r="D719" t="s">
        <v>12</v>
      </c>
      <c r="E719" s="5">
        <v>45678</v>
      </c>
      <c r="F719" s="5">
        <v>45686</v>
      </c>
      <c r="G719">
        <f t="shared" si="22"/>
        <v>8</v>
      </c>
      <c r="H719" t="s">
        <v>60</v>
      </c>
      <c r="I719" t="s">
        <v>142</v>
      </c>
      <c r="J719" s="2">
        <v>14632.49</v>
      </c>
      <c r="K719" s="6">
        <v>0.6</v>
      </c>
      <c r="L719" t="s">
        <v>25</v>
      </c>
      <c r="M719" s="3">
        <f t="shared" si="23"/>
        <v>0</v>
      </c>
      <c r="N719" s="9" t="str" cm="1">
        <f t="array" ref="N719">_xlfn.IFS(C719&lt;18,"Under 18",C719&lt;36,"18-35",C719&lt;51,"36-50",C719&lt;66,"51-65",C719&gt;=66,"Above 65")</f>
        <v>18-35</v>
      </c>
      <c r="O719" s="6"/>
    </row>
    <row r="720" spans="1:15" x14ac:dyDescent="0.35">
      <c r="A720" t="s">
        <v>1326</v>
      </c>
      <c r="B720" t="s">
        <v>919</v>
      </c>
      <c r="C720">
        <v>34</v>
      </c>
      <c r="D720" t="s">
        <v>18</v>
      </c>
      <c r="E720" s="5">
        <v>45740</v>
      </c>
      <c r="F720" s="5">
        <v>45745</v>
      </c>
      <c r="G720">
        <f t="shared" si="22"/>
        <v>5</v>
      </c>
      <c r="H720" t="s">
        <v>31</v>
      </c>
      <c r="I720" t="s">
        <v>53</v>
      </c>
      <c r="J720" s="2">
        <v>2891.81</v>
      </c>
      <c r="K720" s="6">
        <v>0.8</v>
      </c>
      <c r="L720" t="s">
        <v>15</v>
      </c>
      <c r="M720" s="3">
        <f t="shared" si="23"/>
        <v>2891.81</v>
      </c>
      <c r="N720" s="9" t="str" cm="1">
        <f t="array" ref="N720">_xlfn.IFS(C720&lt;18,"Under 18",C720&lt;36,"18-35",C720&lt;51,"36-50",C720&lt;66,"51-65",C720&gt;=66,"Above 65")</f>
        <v>18-35</v>
      </c>
      <c r="O720" s="6"/>
    </row>
    <row r="721" spans="1:15" x14ac:dyDescent="0.35">
      <c r="A721" t="s">
        <v>1327</v>
      </c>
      <c r="B721" t="s">
        <v>870</v>
      </c>
      <c r="C721">
        <v>54</v>
      </c>
      <c r="D721" t="s">
        <v>18</v>
      </c>
      <c r="E721" s="5">
        <v>45551</v>
      </c>
      <c r="F721" s="5">
        <v>45554</v>
      </c>
      <c r="G721">
        <f t="shared" si="22"/>
        <v>3</v>
      </c>
      <c r="H721" t="s">
        <v>13</v>
      </c>
      <c r="I721" t="s">
        <v>111</v>
      </c>
      <c r="J721" s="2">
        <v>8029.13</v>
      </c>
      <c r="K721" s="6">
        <v>0.8</v>
      </c>
      <c r="L721" t="s">
        <v>20</v>
      </c>
      <c r="M721" s="3">
        <f t="shared" si="23"/>
        <v>0</v>
      </c>
      <c r="N721" s="9" t="str" cm="1">
        <f t="array" ref="N721">_xlfn.IFS(C721&lt;18,"Under 18",C721&lt;36,"18-35",C721&lt;51,"36-50",C721&lt;66,"51-65",C721&gt;=66,"Above 65")</f>
        <v>51-65</v>
      </c>
      <c r="O721" s="6"/>
    </row>
    <row r="722" spans="1:15" x14ac:dyDescent="0.35">
      <c r="A722" t="s">
        <v>1328</v>
      </c>
      <c r="B722" t="s">
        <v>1329</v>
      </c>
      <c r="C722">
        <v>45</v>
      </c>
      <c r="D722" t="s">
        <v>12</v>
      </c>
      <c r="E722" s="5">
        <v>45973</v>
      </c>
      <c r="F722" s="5">
        <v>45974</v>
      </c>
      <c r="G722">
        <f t="shared" si="22"/>
        <v>1</v>
      </c>
      <c r="H722" t="s">
        <v>31</v>
      </c>
      <c r="I722" t="s">
        <v>35</v>
      </c>
      <c r="J722" s="2">
        <v>858.67</v>
      </c>
      <c r="K722" s="6">
        <v>0.8</v>
      </c>
      <c r="L722" t="s">
        <v>15</v>
      </c>
      <c r="M722" s="3">
        <f t="shared" si="23"/>
        <v>858.67</v>
      </c>
      <c r="N722" s="9" t="str" cm="1">
        <f t="array" ref="N722">_xlfn.IFS(C722&lt;18,"Under 18",C722&lt;36,"18-35",C722&lt;51,"36-50",C722&lt;66,"51-65",C722&gt;=66,"Above 65")</f>
        <v>36-50</v>
      </c>
      <c r="O722" s="6"/>
    </row>
    <row r="723" spans="1:15" x14ac:dyDescent="0.35">
      <c r="A723" t="s">
        <v>1330</v>
      </c>
      <c r="B723" t="s">
        <v>1331</v>
      </c>
      <c r="C723">
        <v>16</v>
      </c>
      <c r="D723" t="s">
        <v>12</v>
      </c>
      <c r="E723" s="5">
        <v>45978</v>
      </c>
      <c r="F723" s="5">
        <v>45980</v>
      </c>
      <c r="G723">
        <f t="shared" si="22"/>
        <v>2</v>
      </c>
      <c r="H723" t="s">
        <v>49</v>
      </c>
      <c r="I723" t="s">
        <v>378</v>
      </c>
      <c r="J723" s="2">
        <v>3460.07</v>
      </c>
      <c r="K723" s="6">
        <v>1</v>
      </c>
      <c r="L723" t="s">
        <v>20</v>
      </c>
      <c r="M723" s="3">
        <f t="shared" si="23"/>
        <v>0</v>
      </c>
      <c r="N723" s="9" t="str" cm="1">
        <f t="array" ref="N723">_xlfn.IFS(C723&lt;18,"Under 18",C723&lt;36,"18-35",C723&lt;51,"36-50",C723&lt;66,"51-65",C723&gt;=66,"Above 65")</f>
        <v>Under 18</v>
      </c>
      <c r="O723" s="6"/>
    </row>
    <row r="724" spans="1:15" x14ac:dyDescent="0.35">
      <c r="A724" t="s">
        <v>1332</v>
      </c>
      <c r="B724" t="s">
        <v>1333</v>
      </c>
      <c r="C724">
        <v>48</v>
      </c>
      <c r="D724" t="s">
        <v>12</v>
      </c>
      <c r="E724" s="5">
        <v>45879</v>
      </c>
      <c r="F724" s="5">
        <v>45886</v>
      </c>
      <c r="G724">
        <f t="shared" si="22"/>
        <v>7</v>
      </c>
      <c r="H724" t="s">
        <v>31</v>
      </c>
      <c r="I724" t="s">
        <v>87</v>
      </c>
      <c r="J724" s="2">
        <v>7776.12</v>
      </c>
      <c r="K724" s="6">
        <v>0.6</v>
      </c>
      <c r="L724" t="s">
        <v>20</v>
      </c>
      <c r="M724" s="3">
        <f t="shared" si="23"/>
        <v>0</v>
      </c>
      <c r="N724" s="9" t="str" cm="1">
        <f t="array" ref="N724">_xlfn.IFS(C724&lt;18,"Under 18",C724&lt;36,"18-35",C724&lt;51,"36-50",C724&lt;66,"51-65",C724&gt;=66,"Above 65")</f>
        <v>36-50</v>
      </c>
      <c r="O724" s="6"/>
    </row>
    <row r="725" spans="1:15" x14ac:dyDescent="0.35">
      <c r="A725" t="s">
        <v>1334</v>
      </c>
      <c r="B725" t="s">
        <v>651</v>
      </c>
      <c r="C725">
        <v>69</v>
      </c>
      <c r="D725" t="s">
        <v>12</v>
      </c>
      <c r="E725" s="5">
        <v>45410</v>
      </c>
      <c r="F725" s="5">
        <v>45412</v>
      </c>
      <c r="G725">
        <f t="shared" si="22"/>
        <v>2</v>
      </c>
      <c r="H725" t="s">
        <v>23</v>
      </c>
      <c r="I725" t="s">
        <v>28</v>
      </c>
      <c r="J725" s="2">
        <v>4547.8500000000004</v>
      </c>
      <c r="K725" s="6">
        <v>0.7</v>
      </c>
      <c r="L725" t="s">
        <v>25</v>
      </c>
      <c r="M725" s="3">
        <f t="shared" si="23"/>
        <v>0</v>
      </c>
      <c r="N725" s="9" t="str" cm="1">
        <f t="array" ref="N725">_xlfn.IFS(C725&lt;18,"Under 18",C725&lt;36,"18-35",C725&lt;51,"36-50",C725&lt;66,"51-65",C725&gt;=66,"Above 65")</f>
        <v>Above 65</v>
      </c>
      <c r="O725" s="6"/>
    </row>
    <row r="726" spans="1:15" x14ac:dyDescent="0.35">
      <c r="A726" t="s">
        <v>1335</v>
      </c>
      <c r="B726" t="s">
        <v>1336</v>
      </c>
      <c r="C726">
        <v>68</v>
      </c>
      <c r="D726" t="s">
        <v>18</v>
      </c>
      <c r="E726" s="5">
        <v>45395</v>
      </c>
      <c r="F726" s="5">
        <v>45400</v>
      </c>
      <c r="G726">
        <f t="shared" si="22"/>
        <v>5</v>
      </c>
      <c r="H726" t="s">
        <v>13</v>
      </c>
      <c r="I726" t="s">
        <v>38</v>
      </c>
      <c r="J726" s="2">
        <v>11509.91</v>
      </c>
      <c r="K726" s="6">
        <v>0</v>
      </c>
      <c r="L726" t="s">
        <v>20</v>
      </c>
      <c r="M726" s="3">
        <f t="shared" si="23"/>
        <v>0</v>
      </c>
      <c r="N726" s="9" t="str" cm="1">
        <f t="array" ref="N726">_xlfn.IFS(C726&lt;18,"Under 18",C726&lt;36,"18-35",C726&lt;51,"36-50",C726&lt;66,"51-65",C726&gt;=66,"Above 65")</f>
        <v>Above 65</v>
      </c>
      <c r="O726" s="6"/>
    </row>
    <row r="727" spans="1:15" x14ac:dyDescent="0.35">
      <c r="A727" t="s">
        <v>1337</v>
      </c>
      <c r="B727" t="s">
        <v>335</v>
      </c>
      <c r="C727">
        <v>22</v>
      </c>
      <c r="D727" t="s">
        <v>18</v>
      </c>
      <c r="E727" s="5">
        <v>45453</v>
      </c>
      <c r="F727" s="5">
        <v>45456</v>
      </c>
      <c r="G727">
        <f t="shared" si="22"/>
        <v>3</v>
      </c>
      <c r="H727" t="s">
        <v>23</v>
      </c>
      <c r="I727" t="s">
        <v>221</v>
      </c>
      <c r="J727" s="2">
        <v>2402.42</v>
      </c>
      <c r="K727" s="6">
        <v>1</v>
      </c>
      <c r="L727" t="s">
        <v>15</v>
      </c>
      <c r="M727" s="3">
        <f t="shared" si="23"/>
        <v>2402.42</v>
      </c>
      <c r="N727" s="9" t="str" cm="1">
        <f t="array" ref="N727">_xlfn.IFS(C727&lt;18,"Under 18",C727&lt;36,"18-35",C727&lt;51,"36-50",C727&lt;66,"51-65",C727&gt;=66,"Above 65")</f>
        <v>18-35</v>
      </c>
      <c r="O727" s="6"/>
    </row>
    <row r="728" spans="1:15" x14ac:dyDescent="0.35">
      <c r="A728" t="s">
        <v>1338</v>
      </c>
      <c r="B728" t="s">
        <v>1339</v>
      </c>
      <c r="C728">
        <v>15</v>
      </c>
      <c r="D728" t="s">
        <v>12</v>
      </c>
      <c r="E728" s="5">
        <v>45352</v>
      </c>
      <c r="F728" s="5">
        <v>45356</v>
      </c>
      <c r="G728">
        <f t="shared" si="22"/>
        <v>4</v>
      </c>
      <c r="H728" t="s">
        <v>49</v>
      </c>
      <c r="I728" t="s">
        <v>50</v>
      </c>
      <c r="J728" s="2">
        <v>4108.03</v>
      </c>
      <c r="K728" s="6">
        <v>0.8</v>
      </c>
      <c r="L728" t="s">
        <v>15</v>
      </c>
      <c r="M728" s="3">
        <f t="shared" si="23"/>
        <v>4108.03</v>
      </c>
      <c r="N728" s="9" t="str" cm="1">
        <f t="array" ref="N728">_xlfn.IFS(C728&lt;18,"Under 18",C728&lt;36,"18-35",C728&lt;51,"36-50",C728&lt;66,"51-65",C728&gt;=66,"Above 65")</f>
        <v>Under 18</v>
      </c>
      <c r="O728" s="6"/>
    </row>
    <row r="729" spans="1:15" x14ac:dyDescent="0.35">
      <c r="A729" t="s">
        <v>1340</v>
      </c>
      <c r="B729" t="s">
        <v>1341</v>
      </c>
      <c r="C729">
        <v>48</v>
      </c>
      <c r="D729" t="s">
        <v>18</v>
      </c>
      <c r="E729" s="5">
        <v>45674</v>
      </c>
      <c r="F729" s="5">
        <v>45680</v>
      </c>
      <c r="G729">
        <f t="shared" si="22"/>
        <v>6</v>
      </c>
      <c r="H729" t="s">
        <v>31</v>
      </c>
      <c r="I729" t="s">
        <v>87</v>
      </c>
      <c r="J729" s="2">
        <v>3552.94</v>
      </c>
      <c r="K729" s="6">
        <v>0.8</v>
      </c>
      <c r="L729" t="s">
        <v>20</v>
      </c>
      <c r="M729" s="3">
        <f t="shared" si="23"/>
        <v>0</v>
      </c>
      <c r="N729" s="9" t="str" cm="1">
        <f t="array" ref="N729">_xlfn.IFS(C729&lt;18,"Under 18",C729&lt;36,"18-35",C729&lt;51,"36-50",C729&lt;66,"51-65",C729&gt;=66,"Above 65")</f>
        <v>36-50</v>
      </c>
      <c r="O729" s="6"/>
    </row>
    <row r="730" spans="1:15" x14ac:dyDescent="0.35">
      <c r="A730" t="s">
        <v>1342</v>
      </c>
      <c r="B730" t="s">
        <v>721</v>
      </c>
      <c r="C730">
        <v>85</v>
      </c>
      <c r="D730" t="s">
        <v>18</v>
      </c>
      <c r="E730" s="5">
        <v>45521</v>
      </c>
      <c r="F730" s="5">
        <v>45524</v>
      </c>
      <c r="G730">
        <f t="shared" si="22"/>
        <v>3</v>
      </c>
      <c r="H730" t="s">
        <v>23</v>
      </c>
      <c r="I730" t="s">
        <v>41</v>
      </c>
      <c r="J730" s="2">
        <v>2872.72</v>
      </c>
      <c r="K730" s="6">
        <v>0.5</v>
      </c>
      <c r="L730" t="s">
        <v>20</v>
      </c>
      <c r="M730" s="3">
        <f t="shared" si="23"/>
        <v>0</v>
      </c>
      <c r="N730" s="9" t="str" cm="1">
        <f t="array" ref="N730">_xlfn.IFS(C730&lt;18,"Under 18",C730&lt;36,"18-35",C730&lt;51,"36-50",C730&lt;66,"51-65",C730&gt;=66,"Above 65")</f>
        <v>Above 65</v>
      </c>
      <c r="O730" s="6"/>
    </row>
    <row r="731" spans="1:15" x14ac:dyDescent="0.35">
      <c r="A731" t="s">
        <v>1343</v>
      </c>
      <c r="B731" t="s">
        <v>1344</v>
      </c>
      <c r="C731">
        <v>49</v>
      </c>
      <c r="D731" t="s">
        <v>12</v>
      </c>
      <c r="E731" s="5">
        <v>45608</v>
      </c>
      <c r="F731" s="5">
        <v>45616</v>
      </c>
      <c r="G731">
        <f t="shared" si="22"/>
        <v>8</v>
      </c>
      <c r="H731" t="s">
        <v>60</v>
      </c>
      <c r="I731" t="s">
        <v>61</v>
      </c>
      <c r="J731" s="2">
        <v>8897.51</v>
      </c>
      <c r="K731" s="6">
        <v>0.8</v>
      </c>
      <c r="L731" t="s">
        <v>15</v>
      </c>
      <c r="M731" s="3">
        <f t="shared" si="23"/>
        <v>8897.51</v>
      </c>
      <c r="N731" s="9" t="str" cm="1">
        <f t="array" ref="N731">_xlfn.IFS(C731&lt;18,"Under 18",C731&lt;36,"18-35",C731&lt;51,"36-50",C731&lt;66,"51-65",C731&gt;=66,"Above 65")</f>
        <v>36-50</v>
      </c>
      <c r="O731" s="6"/>
    </row>
    <row r="732" spans="1:15" x14ac:dyDescent="0.35">
      <c r="A732" t="s">
        <v>1345</v>
      </c>
      <c r="B732" t="s">
        <v>762</v>
      </c>
      <c r="C732">
        <v>10</v>
      </c>
      <c r="D732" t="s">
        <v>18</v>
      </c>
      <c r="E732" s="5">
        <v>45407</v>
      </c>
      <c r="F732" s="5">
        <v>45410</v>
      </c>
      <c r="G732">
        <f t="shared" si="22"/>
        <v>3</v>
      </c>
      <c r="H732" t="s">
        <v>49</v>
      </c>
      <c r="I732" t="s">
        <v>123</v>
      </c>
      <c r="J732" s="2">
        <v>3469.08</v>
      </c>
      <c r="K732" s="6">
        <v>0.8</v>
      </c>
      <c r="L732" t="s">
        <v>15</v>
      </c>
      <c r="M732" s="3">
        <f t="shared" si="23"/>
        <v>3469.08</v>
      </c>
      <c r="N732" s="9" t="str" cm="1">
        <f t="array" ref="N732">_xlfn.IFS(C732&lt;18,"Under 18",C732&lt;36,"18-35",C732&lt;51,"36-50",C732&lt;66,"51-65",C732&gt;=66,"Above 65")</f>
        <v>Under 18</v>
      </c>
      <c r="O732" s="6"/>
    </row>
    <row r="733" spans="1:15" x14ac:dyDescent="0.35">
      <c r="A733" t="s">
        <v>1346</v>
      </c>
      <c r="B733" t="s">
        <v>1347</v>
      </c>
      <c r="C733">
        <v>47</v>
      </c>
      <c r="D733" t="s">
        <v>12</v>
      </c>
      <c r="E733" s="5">
        <v>45300</v>
      </c>
      <c r="F733" s="5">
        <v>45306</v>
      </c>
      <c r="G733">
        <f t="shared" si="22"/>
        <v>6</v>
      </c>
      <c r="H733" t="s">
        <v>13</v>
      </c>
      <c r="I733" t="s">
        <v>19</v>
      </c>
      <c r="J733" s="2">
        <v>8778.52</v>
      </c>
      <c r="K733" s="6">
        <v>0.8</v>
      </c>
      <c r="L733" t="s">
        <v>20</v>
      </c>
      <c r="M733" s="3">
        <f t="shared" si="23"/>
        <v>0</v>
      </c>
      <c r="N733" s="9" t="str" cm="1">
        <f t="array" ref="N733">_xlfn.IFS(C733&lt;18,"Under 18",C733&lt;36,"18-35",C733&lt;51,"36-50",C733&lt;66,"51-65",C733&gt;=66,"Above 65")</f>
        <v>36-50</v>
      </c>
      <c r="O733" s="6"/>
    </row>
    <row r="734" spans="1:15" x14ac:dyDescent="0.35">
      <c r="A734" t="s">
        <v>1348</v>
      </c>
      <c r="B734" t="s">
        <v>647</v>
      </c>
      <c r="C734">
        <v>66</v>
      </c>
      <c r="D734" t="s">
        <v>12</v>
      </c>
      <c r="E734" s="5">
        <v>45449</v>
      </c>
      <c r="F734" s="5">
        <v>45463</v>
      </c>
      <c r="G734">
        <f t="shared" si="22"/>
        <v>14</v>
      </c>
      <c r="H734" t="s">
        <v>60</v>
      </c>
      <c r="I734" t="s">
        <v>133</v>
      </c>
      <c r="J734" s="2">
        <v>38501.9</v>
      </c>
      <c r="K734" s="6">
        <v>0.8</v>
      </c>
      <c r="L734" t="s">
        <v>15</v>
      </c>
      <c r="M734" s="3">
        <f t="shared" si="23"/>
        <v>38501.9</v>
      </c>
      <c r="N734" s="9" t="str" cm="1">
        <f t="array" ref="N734">_xlfn.IFS(C734&lt;18,"Under 18",C734&lt;36,"18-35",C734&lt;51,"36-50",C734&lt;66,"51-65",C734&gt;=66,"Above 65")</f>
        <v>Above 65</v>
      </c>
      <c r="O734" s="6"/>
    </row>
    <row r="735" spans="1:15" x14ac:dyDescent="0.35">
      <c r="A735" t="s">
        <v>1349</v>
      </c>
      <c r="B735" t="s">
        <v>352</v>
      </c>
      <c r="C735">
        <v>43</v>
      </c>
      <c r="D735" t="s">
        <v>12</v>
      </c>
      <c r="E735" s="5">
        <v>46016</v>
      </c>
      <c r="F735" s="5">
        <v>46018</v>
      </c>
      <c r="G735">
        <f t="shared" si="22"/>
        <v>2</v>
      </c>
      <c r="H735" t="s">
        <v>31</v>
      </c>
      <c r="I735" t="s">
        <v>234</v>
      </c>
      <c r="J735" s="2">
        <v>1693.89</v>
      </c>
      <c r="K735" s="6">
        <v>0.8</v>
      </c>
      <c r="L735" t="s">
        <v>15</v>
      </c>
      <c r="M735" s="3">
        <f t="shared" si="23"/>
        <v>1693.89</v>
      </c>
      <c r="N735" s="9" t="str" cm="1">
        <f t="array" ref="N735">_xlfn.IFS(C735&lt;18,"Under 18",C735&lt;36,"18-35",C735&lt;51,"36-50",C735&lt;66,"51-65",C735&gt;=66,"Above 65")</f>
        <v>36-50</v>
      </c>
      <c r="O735" s="6"/>
    </row>
    <row r="736" spans="1:15" x14ac:dyDescent="0.35">
      <c r="A736" t="s">
        <v>1350</v>
      </c>
      <c r="B736" t="s">
        <v>1351</v>
      </c>
      <c r="C736">
        <v>29</v>
      </c>
      <c r="D736" t="s">
        <v>12</v>
      </c>
      <c r="E736" s="5">
        <v>45440</v>
      </c>
      <c r="F736" s="5">
        <v>45441</v>
      </c>
      <c r="G736">
        <f t="shared" si="22"/>
        <v>1</v>
      </c>
      <c r="H736" t="s">
        <v>23</v>
      </c>
      <c r="I736" t="s">
        <v>82</v>
      </c>
      <c r="J736" s="2">
        <v>1250.03</v>
      </c>
      <c r="K736" s="6">
        <v>0.8</v>
      </c>
      <c r="L736" t="s">
        <v>15</v>
      </c>
      <c r="M736" s="3">
        <f t="shared" si="23"/>
        <v>1250.03</v>
      </c>
      <c r="N736" s="9" t="str" cm="1">
        <f t="array" ref="N736">_xlfn.IFS(C736&lt;18,"Under 18",C736&lt;36,"18-35",C736&lt;51,"36-50",C736&lt;66,"51-65",C736&gt;=66,"Above 65")</f>
        <v>18-35</v>
      </c>
      <c r="O736" s="6"/>
    </row>
    <row r="737" spans="1:15" x14ac:dyDescent="0.35">
      <c r="A737" t="s">
        <v>1352</v>
      </c>
      <c r="B737" t="s">
        <v>127</v>
      </c>
      <c r="C737">
        <v>76</v>
      </c>
      <c r="D737" t="s">
        <v>18</v>
      </c>
      <c r="E737" s="5">
        <v>45577</v>
      </c>
      <c r="F737" s="5">
        <v>45578</v>
      </c>
      <c r="G737">
        <f t="shared" si="22"/>
        <v>1</v>
      </c>
      <c r="H737" t="s">
        <v>23</v>
      </c>
      <c r="I737" t="s">
        <v>221</v>
      </c>
      <c r="J737" s="2">
        <v>2286.5500000000002</v>
      </c>
      <c r="K737" s="6">
        <v>0.9</v>
      </c>
      <c r="L737" t="s">
        <v>25</v>
      </c>
      <c r="M737" s="3">
        <f t="shared" si="23"/>
        <v>0</v>
      </c>
      <c r="N737" s="9" t="str" cm="1">
        <f t="array" ref="N737">_xlfn.IFS(C737&lt;18,"Under 18",C737&lt;36,"18-35",C737&lt;51,"36-50",C737&lt;66,"51-65",C737&gt;=66,"Above 65")</f>
        <v>Above 65</v>
      </c>
      <c r="O737" s="6"/>
    </row>
    <row r="738" spans="1:15" x14ac:dyDescent="0.35">
      <c r="A738" t="s">
        <v>1353</v>
      </c>
      <c r="B738" t="s">
        <v>396</v>
      </c>
      <c r="C738">
        <v>70</v>
      </c>
      <c r="D738" t="s">
        <v>12</v>
      </c>
      <c r="E738" s="5">
        <v>45504</v>
      </c>
      <c r="F738" s="5">
        <v>45505</v>
      </c>
      <c r="G738">
        <f t="shared" si="22"/>
        <v>1</v>
      </c>
      <c r="H738" t="s">
        <v>23</v>
      </c>
      <c r="I738" t="s">
        <v>221</v>
      </c>
      <c r="J738" s="2">
        <v>1516.2</v>
      </c>
      <c r="K738" s="6">
        <v>0.8</v>
      </c>
      <c r="L738" t="s">
        <v>15</v>
      </c>
      <c r="M738" s="3">
        <f t="shared" si="23"/>
        <v>1516.2</v>
      </c>
      <c r="N738" s="9" t="str" cm="1">
        <f t="array" ref="N738">_xlfn.IFS(C738&lt;18,"Under 18",C738&lt;36,"18-35",C738&lt;51,"36-50",C738&lt;66,"51-65",C738&gt;=66,"Above 65")</f>
        <v>Above 65</v>
      </c>
      <c r="O738" s="6"/>
    </row>
    <row r="739" spans="1:15" x14ac:dyDescent="0.35">
      <c r="A739" t="s">
        <v>1354</v>
      </c>
      <c r="B739" t="s">
        <v>1355</v>
      </c>
      <c r="C739">
        <v>79</v>
      </c>
      <c r="D739" t="s">
        <v>18</v>
      </c>
      <c r="E739" s="5">
        <v>45659</v>
      </c>
      <c r="F739" s="5">
        <v>45669</v>
      </c>
      <c r="G739">
        <f t="shared" si="22"/>
        <v>10</v>
      </c>
      <c r="H739" t="s">
        <v>13</v>
      </c>
      <c r="I739" t="s">
        <v>14</v>
      </c>
      <c r="J739" s="2">
        <v>24161.06</v>
      </c>
      <c r="K739" s="6">
        <v>1</v>
      </c>
      <c r="L739" t="s">
        <v>15</v>
      </c>
      <c r="M739" s="3">
        <f t="shared" si="23"/>
        <v>24161.06</v>
      </c>
      <c r="N739" s="9" t="str" cm="1">
        <f t="array" ref="N739">_xlfn.IFS(C739&lt;18,"Under 18",C739&lt;36,"18-35",C739&lt;51,"36-50",C739&lt;66,"51-65",C739&gt;=66,"Above 65")</f>
        <v>Above 65</v>
      </c>
      <c r="O739" s="6"/>
    </row>
    <row r="740" spans="1:15" x14ac:dyDescent="0.35">
      <c r="A740" t="s">
        <v>1356</v>
      </c>
      <c r="B740" t="s">
        <v>1357</v>
      </c>
      <c r="C740">
        <v>76</v>
      </c>
      <c r="D740" t="s">
        <v>18</v>
      </c>
      <c r="E740" s="5">
        <v>45650</v>
      </c>
      <c r="F740" s="5">
        <v>45653</v>
      </c>
      <c r="G740">
        <f t="shared" si="22"/>
        <v>3</v>
      </c>
      <c r="H740" t="s">
        <v>23</v>
      </c>
      <c r="I740" t="s">
        <v>41</v>
      </c>
      <c r="J740" s="2">
        <v>5162.18</v>
      </c>
      <c r="K740" s="6">
        <v>0.9</v>
      </c>
      <c r="L740" t="s">
        <v>25</v>
      </c>
      <c r="M740" s="3">
        <f t="shared" si="23"/>
        <v>0</v>
      </c>
      <c r="N740" s="9" t="str" cm="1">
        <f t="array" ref="N740">_xlfn.IFS(C740&lt;18,"Under 18",C740&lt;36,"18-35",C740&lt;51,"36-50",C740&lt;66,"51-65",C740&gt;=66,"Above 65")</f>
        <v>Above 65</v>
      </c>
      <c r="O740" s="6"/>
    </row>
    <row r="741" spans="1:15" x14ac:dyDescent="0.35">
      <c r="A741" t="s">
        <v>1358</v>
      </c>
      <c r="B741" t="s">
        <v>602</v>
      </c>
      <c r="C741">
        <v>27</v>
      </c>
      <c r="D741" t="s">
        <v>12</v>
      </c>
      <c r="E741" s="5">
        <v>45724</v>
      </c>
      <c r="F741" s="5">
        <v>45737</v>
      </c>
      <c r="G741">
        <f t="shared" si="22"/>
        <v>13</v>
      </c>
      <c r="H741" t="s">
        <v>60</v>
      </c>
      <c r="I741" t="s">
        <v>133</v>
      </c>
      <c r="J741" s="2">
        <v>22371.56</v>
      </c>
      <c r="K741" s="6">
        <v>0.8</v>
      </c>
      <c r="L741" t="s">
        <v>15</v>
      </c>
      <c r="M741" s="3">
        <f t="shared" si="23"/>
        <v>22371.56</v>
      </c>
      <c r="N741" s="9" t="str" cm="1">
        <f t="array" ref="N741">_xlfn.IFS(C741&lt;18,"Under 18",C741&lt;36,"18-35",C741&lt;51,"36-50",C741&lt;66,"51-65",C741&gt;=66,"Above 65")</f>
        <v>18-35</v>
      </c>
      <c r="O741" s="6"/>
    </row>
    <row r="742" spans="1:15" x14ac:dyDescent="0.35">
      <c r="A742" t="s">
        <v>1359</v>
      </c>
      <c r="B742" t="s">
        <v>527</v>
      </c>
      <c r="C742">
        <v>82</v>
      </c>
      <c r="D742" t="s">
        <v>18</v>
      </c>
      <c r="E742" s="5">
        <v>45592</v>
      </c>
      <c r="F742" s="5">
        <v>45593</v>
      </c>
      <c r="G742">
        <f t="shared" si="22"/>
        <v>1</v>
      </c>
      <c r="H742" t="s">
        <v>23</v>
      </c>
      <c r="I742" t="s">
        <v>82</v>
      </c>
      <c r="J742" s="2">
        <v>1865.06</v>
      </c>
      <c r="K742" s="6">
        <v>0.8</v>
      </c>
      <c r="L742" t="s">
        <v>15</v>
      </c>
      <c r="M742" s="3">
        <f t="shared" si="23"/>
        <v>1865.06</v>
      </c>
      <c r="N742" s="9" t="str" cm="1">
        <f t="array" ref="N742">_xlfn.IFS(C742&lt;18,"Under 18",C742&lt;36,"18-35",C742&lt;51,"36-50",C742&lt;66,"51-65",C742&gt;=66,"Above 65")</f>
        <v>Above 65</v>
      </c>
      <c r="O742" s="6"/>
    </row>
    <row r="743" spans="1:15" x14ac:dyDescent="0.35">
      <c r="A743" t="s">
        <v>1360</v>
      </c>
      <c r="B743" t="s">
        <v>1361</v>
      </c>
      <c r="C743">
        <v>71</v>
      </c>
      <c r="D743" t="s">
        <v>12</v>
      </c>
      <c r="E743" s="5">
        <v>45558</v>
      </c>
      <c r="F743" s="5">
        <v>45561</v>
      </c>
      <c r="G743">
        <f t="shared" si="22"/>
        <v>3</v>
      </c>
      <c r="H743" t="s">
        <v>13</v>
      </c>
      <c r="I743" t="s">
        <v>165</v>
      </c>
      <c r="J743" s="2">
        <v>7640.58</v>
      </c>
      <c r="K743" s="6">
        <v>0.8</v>
      </c>
      <c r="L743" t="s">
        <v>25</v>
      </c>
      <c r="M743" s="3">
        <f t="shared" si="23"/>
        <v>0</v>
      </c>
      <c r="N743" s="9" t="str" cm="1">
        <f t="array" ref="N743">_xlfn.IFS(C743&lt;18,"Under 18",C743&lt;36,"18-35",C743&lt;51,"36-50",C743&lt;66,"51-65",C743&gt;=66,"Above 65")</f>
        <v>Above 65</v>
      </c>
      <c r="O743" s="6"/>
    </row>
    <row r="744" spans="1:15" x14ac:dyDescent="0.35">
      <c r="A744" t="s">
        <v>1362</v>
      </c>
      <c r="B744" t="s">
        <v>328</v>
      </c>
      <c r="C744">
        <v>69</v>
      </c>
      <c r="D744" t="s">
        <v>18</v>
      </c>
      <c r="E744" s="5">
        <v>45688</v>
      </c>
      <c r="F744" s="5">
        <v>45690</v>
      </c>
      <c r="G744">
        <f t="shared" si="22"/>
        <v>2</v>
      </c>
      <c r="H744" t="s">
        <v>31</v>
      </c>
      <c r="I744" t="s">
        <v>35</v>
      </c>
      <c r="J744" s="2">
        <v>2892.4</v>
      </c>
      <c r="K744" s="6">
        <v>0.5</v>
      </c>
      <c r="L744" t="s">
        <v>15</v>
      </c>
      <c r="M744" s="3">
        <f t="shared" si="23"/>
        <v>2892.4</v>
      </c>
      <c r="N744" s="9" t="str" cm="1">
        <f t="array" ref="N744">_xlfn.IFS(C744&lt;18,"Under 18",C744&lt;36,"18-35",C744&lt;51,"36-50",C744&lt;66,"51-65",C744&gt;=66,"Above 65")</f>
        <v>Above 65</v>
      </c>
      <c r="O744" s="6"/>
    </row>
    <row r="745" spans="1:15" x14ac:dyDescent="0.35">
      <c r="A745" t="s">
        <v>1363</v>
      </c>
      <c r="B745" t="s">
        <v>369</v>
      </c>
      <c r="C745">
        <v>32</v>
      </c>
      <c r="D745" t="s">
        <v>12</v>
      </c>
      <c r="E745" s="5">
        <v>45650</v>
      </c>
      <c r="F745" s="5">
        <v>45657</v>
      </c>
      <c r="G745">
        <f t="shared" si="22"/>
        <v>7</v>
      </c>
      <c r="H745" t="s">
        <v>70</v>
      </c>
      <c r="I745" t="s">
        <v>71</v>
      </c>
      <c r="J745" s="2">
        <v>9495.5300000000007</v>
      </c>
      <c r="K745" s="6">
        <v>1</v>
      </c>
      <c r="L745" t="s">
        <v>20</v>
      </c>
      <c r="M745" s="3">
        <f t="shared" si="23"/>
        <v>0</v>
      </c>
      <c r="N745" s="9" t="str" cm="1">
        <f t="array" ref="N745">_xlfn.IFS(C745&lt;18,"Under 18",C745&lt;36,"18-35",C745&lt;51,"36-50",C745&lt;66,"51-65",C745&gt;=66,"Above 65")</f>
        <v>18-35</v>
      </c>
      <c r="O745" s="6"/>
    </row>
    <row r="746" spans="1:15" x14ac:dyDescent="0.35">
      <c r="A746" t="s">
        <v>1364</v>
      </c>
      <c r="B746" t="s">
        <v>550</v>
      </c>
      <c r="C746">
        <v>29</v>
      </c>
      <c r="D746" t="s">
        <v>18</v>
      </c>
      <c r="E746" s="5">
        <v>45559</v>
      </c>
      <c r="F746" s="5">
        <v>45560</v>
      </c>
      <c r="G746">
        <f t="shared" si="22"/>
        <v>1</v>
      </c>
      <c r="H746" t="s">
        <v>23</v>
      </c>
      <c r="I746" t="s">
        <v>28</v>
      </c>
      <c r="J746" s="2">
        <v>870.1</v>
      </c>
      <c r="K746" s="6">
        <v>0.8</v>
      </c>
      <c r="L746" t="s">
        <v>15</v>
      </c>
      <c r="M746" s="3">
        <f t="shared" si="23"/>
        <v>870.1</v>
      </c>
      <c r="N746" s="9" t="str" cm="1">
        <f t="array" ref="N746">_xlfn.IFS(C746&lt;18,"Under 18",C746&lt;36,"18-35",C746&lt;51,"36-50",C746&lt;66,"51-65",C746&gt;=66,"Above 65")</f>
        <v>18-35</v>
      </c>
      <c r="O746" s="6"/>
    </row>
    <row r="747" spans="1:15" x14ac:dyDescent="0.35">
      <c r="A747" t="s">
        <v>1365</v>
      </c>
      <c r="B747" t="s">
        <v>300</v>
      </c>
      <c r="C747">
        <v>76</v>
      </c>
      <c r="D747" t="s">
        <v>18</v>
      </c>
      <c r="E747" s="5">
        <v>45306</v>
      </c>
      <c r="F747" s="5">
        <v>45307</v>
      </c>
      <c r="G747">
        <f t="shared" si="22"/>
        <v>1</v>
      </c>
      <c r="H747" t="s">
        <v>31</v>
      </c>
      <c r="I747" t="s">
        <v>32</v>
      </c>
      <c r="J747" s="2">
        <v>1437.06</v>
      </c>
      <c r="K747" s="6">
        <v>0.7</v>
      </c>
      <c r="L747" t="s">
        <v>20</v>
      </c>
      <c r="M747" s="3">
        <f t="shared" si="23"/>
        <v>0</v>
      </c>
      <c r="N747" s="9" t="str" cm="1">
        <f t="array" ref="N747">_xlfn.IFS(C747&lt;18,"Under 18",C747&lt;36,"18-35",C747&lt;51,"36-50",C747&lt;66,"51-65",C747&gt;=66,"Above 65")</f>
        <v>Above 65</v>
      </c>
      <c r="O747" s="6"/>
    </row>
    <row r="748" spans="1:15" x14ac:dyDescent="0.35">
      <c r="A748" t="s">
        <v>1366</v>
      </c>
      <c r="B748" t="s">
        <v>502</v>
      </c>
      <c r="C748">
        <v>53</v>
      </c>
      <c r="D748" t="s">
        <v>18</v>
      </c>
      <c r="E748" s="5">
        <v>45519</v>
      </c>
      <c r="F748" s="5">
        <v>45524</v>
      </c>
      <c r="G748">
        <f t="shared" si="22"/>
        <v>5</v>
      </c>
      <c r="H748" t="s">
        <v>31</v>
      </c>
      <c r="I748" t="s">
        <v>53</v>
      </c>
      <c r="J748" s="2">
        <v>2735.83</v>
      </c>
      <c r="K748" s="6">
        <v>0.9</v>
      </c>
      <c r="L748" t="s">
        <v>20</v>
      </c>
      <c r="M748" s="3">
        <f t="shared" si="23"/>
        <v>0</v>
      </c>
      <c r="N748" s="9" t="str" cm="1">
        <f t="array" ref="N748">_xlfn.IFS(C748&lt;18,"Under 18",C748&lt;36,"18-35",C748&lt;51,"36-50",C748&lt;66,"51-65",C748&gt;=66,"Above 65")</f>
        <v>51-65</v>
      </c>
      <c r="O748" s="6"/>
    </row>
    <row r="749" spans="1:15" x14ac:dyDescent="0.35">
      <c r="A749" t="s">
        <v>1367</v>
      </c>
      <c r="B749" t="s">
        <v>177</v>
      </c>
      <c r="C749">
        <v>27</v>
      </c>
      <c r="D749" t="s">
        <v>12</v>
      </c>
      <c r="E749" s="5">
        <v>45628</v>
      </c>
      <c r="F749" s="5">
        <v>45629</v>
      </c>
      <c r="G749">
        <f t="shared" si="22"/>
        <v>1</v>
      </c>
      <c r="H749" t="s">
        <v>23</v>
      </c>
      <c r="I749" t="s">
        <v>24</v>
      </c>
      <c r="J749" s="2">
        <v>1879.03</v>
      </c>
      <c r="K749" s="6">
        <v>1</v>
      </c>
      <c r="L749" t="s">
        <v>15</v>
      </c>
      <c r="M749" s="3">
        <f t="shared" si="23"/>
        <v>1879.03</v>
      </c>
      <c r="N749" s="9" t="str" cm="1">
        <f t="array" ref="N749">_xlfn.IFS(C749&lt;18,"Under 18",C749&lt;36,"18-35",C749&lt;51,"36-50",C749&lt;66,"51-65",C749&gt;=66,"Above 65")</f>
        <v>18-35</v>
      </c>
      <c r="O749" s="6"/>
    </row>
    <row r="750" spans="1:15" x14ac:dyDescent="0.35">
      <c r="A750" t="s">
        <v>1368</v>
      </c>
      <c r="B750" t="s">
        <v>721</v>
      </c>
      <c r="C750">
        <v>11</v>
      </c>
      <c r="D750" t="s">
        <v>18</v>
      </c>
      <c r="E750" s="5">
        <v>45482</v>
      </c>
      <c r="F750" s="5">
        <v>45486</v>
      </c>
      <c r="G750">
        <f t="shared" si="22"/>
        <v>4</v>
      </c>
      <c r="H750" t="s">
        <v>49</v>
      </c>
      <c r="I750" t="s">
        <v>130</v>
      </c>
      <c r="J750" s="2">
        <v>4685.1499999999996</v>
      </c>
      <c r="K750" s="6">
        <v>0.7</v>
      </c>
      <c r="L750" t="s">
        <v>25</v>
      </c>
      <c r="M750" s="3">
        <f t="shared" si="23"/>
        <v>0</v>
      </c>
      <c r="N750" s="9" t="str" cm="1">
        <f t="array" ref="N750">_xlfn.IFS(C750&lt;18,"Under 18",C750&lt;36,"18-35",C750&lt;51,"36-50",C750&lt;66,"51-65",C750&gt;=66,"Above 65")</f>
        <v>Under 18</v>
      </c>
      <c r="O750" s="6"/>
    </row>
    <row r="751" spans="1:15" x14ac:dyDescent="0.35">
      <c r="A751" t="s">
        <v>1369</v>
      </c>
      <c r="B751" t="s">
        <v>369</v>
      </c>
      <c r="C751">
        <v>30</v>
      </c>
      <c r="D751" t="s">
        <v>12</v>
      </c>
      <c r="E751" s="5">
        <v>45987</v>
      </c>
      <c r="F751" s="5">
        <v>45989</v>
      </c>
      <c r="G751">
        <f t="shared" si="22"/>
        <v>2</v>
      </c>
      <c r="H751" t="s">
        <v>23</v>
      </c>
      <c r="I751" t="s">
        <v>41</v>
      </c>
      <c r="J751" s="2">
        <v>4638.3500000000004</v>
      </c>
      <c r="K751" s="6">
        <v>0.9</v>
      </c>
      <c r="L751" t="s">
        <v>25</v>
      </c>
      <c r="M751" s="3">
        <f t="shared" si="23"/>
        <v>0</v>
      </c>
      <c r="N751" s="9" t="str" cm="1">
        <f t="array" ref="N751">_xlfn.IFS(C751&lt;18,"Under 18",C751&lt;36,"18-35",C751&lt;51,"36-50",C751&lt;66,"51-65",C751&gt;=66,"Above 65")</f>
        <v>18-35</v>
      </c>
      <c r="O751" s="6"/>
    </row>
    <row r="752" spans="1:15" x14ac:dyDescent="0.35">
      <c r="A752" t="s">
        <v>1370</v>
      </c>
      <c r="B752" t="s">
        <v>17</v>
      </c>
      <c r="C752">
        <v>35</v>
      </c>
      <c r="D752" t="s">
        <v>18</v>
      </c>
      <c r="E752" s="5">
        <v>45454</v>
      </c>
      <c r="F752" s="5">
        <v>45457</v>
      </c>
      <c r="G752">
        <f t="shared" si="22"/>
        <v>3</v>
      </c>
      <c r="H752" t="s">
        <v>23</v>
      </c>
      <c r="I752" t="s">
        <v>333</v>
      </c>
      <c r="J752" s="2">
        <v>6181.48</v>
      </c>
      <c r="K752" s="6">
        <v>0.9</v>
      </c>
      <c r="L752" t="s">
        <v>15</v>
      </c>
      <c r="M752" s="3">
        <f t="shared" si="23"/>
        <v>6181.48</v>
      </c>
      <c r="N752" s="9" t="str" cm="1">
        <f t="array" ref="N752">_xlfn.IFS(C752&lt;18,"Under 18",C752&lt;36,"18-35",C752&lt;51,"36-50",C752&lt;66,"51-65",C752&gt;=66,"Above 65")</f>
        <v>18-35</v>
      </c>
      <c r="O752" s="6"/>
    </row>
    <row r="753" spans="1:15" x14ac:dyDescent="0.35">
      <c r="A753" t="s">
        <v>1371</v>
      </c>
      <c r="B753" t="s">
        <v>156</v>
      </c>
      <c r="C753">
        <v>66</v>
      </c>
      <c r="D753" t="s">
        <v>18</v>
      </c>
      <c r="E753" s="5">
        <v>45993</v>
      </c>
      <c r="F753" s="5">
        <v>45999</v>
      </c>
      <c r="G753">
        <f t="shared" si="22"/>
        <v>6</v>
      </c>
      <c r="H753" t="s">
        <v>70</v>
      </c>
      <c r="I753" t="s">
        <v>237</v>
      </c>
      <c r="J753" s="2">
        <v>10893.55</v>
      </c>
      <c r="K753" s="6">
        <v>0.8</v>
      </c>
      <c r="L753" t="s">
        <v>15</v>
      </c>
      <c r="M753" s="3">
        <f t="shared" si="23"/>
        <v>10893.55</v>
      </c>
      <c r="N753" s="9" t="str" cm="1">
        <f t="array" ref="N753">_xlfn.IFS(C753&lt;18,"Under 18",C753&lt;36,"18-35",C753&lt;51,"36-50",C753&lt;66,"51-65",C753&gt;=66,"Above 65")</f>
        <v>Above 65</v>
      </c>
      <c r="O753" s="6"/>
    </row>
    <row r="754" spans="1:15" x14ac:dyDescent="0.35">
      <c r="A754" t="s">
        <v>1372</v>
      </c>
      <c r="B754" t="s">
        <v>746</v>
      </c>
      <c r="C754">
        <v>70</v>
      </c>
      <c r="D754" t="s">
        <v>12</v>
      </c>
      <c r="E754" s="5">
        <v>45481</v>
      </c>
      <c r="F754" s="5">
        <v>45485</v>
      </c>
      <c r="G754">
        <f t="shared" si="22"/>
        <v>4</v>
      </c>
      <c r="H754" t="s">
        <v>31</v>
      </c>
      <c r="I754" t="s">
        <v>44</v>
      </c>
      <c r="J754" s="2">
        <v>5559.19</v>
      </c>
      <c r="K754" s="6">
        <v>1</v>
      </c>
      <c r="L754" t="s">
        <v>15</v>
      </c>
      <c r="M754" s="3">
        <f t="shared" si="23"/>
        <v>5559.19</v>
      </c>
      <c r="N754" s="9" t="str" cm="1">
        <f t="array" ref="N754">_xlfn.IFS(C754&lt;18,"Under 18",C754&lt;36,"18-35",C754&lt;51,"36-50",C754&lt;66,"51-65",C754&gt;=66,"Above 65")</f>
        <v>Above 65</v>
      </c>
      <c r="O754" s="6"/>
    </row>
    <row r="755" spans="1:15" x14ac:dyDescent="0.35">
      <c r="A755" t="s">
        <v>1373</v>
      </c>
      <c r="B755" t="s">
        <v>1374</v>
      </c>
      <c r="C755">
        <v>82</v>
      </c>
      <c r="D755" t="s">
        <v>18</v>
      </c>
      <c r="E755" s="5">
        <v>45867</v>
      </c>
      <c r="F755" s="5">
        <v>45873</v>
      </c>
      <c r="G755">
        <f t="shared" si="22"/>
        <v>6</v>
      </c>
      <c r="H755" t="s">
        <v>13</v>
      </c>
      <c r="I755" t="s">
        <v>165</v>
      </c>
      <c r="J755" s="2">
        <v>12777.22</v>
      </c>
      <c r="K755" s="6">
        <v>0.9</v>
      </c>
      <c r="L755" t="s">
        <v>15</v>
      </c>
      <c r="M755" s="3">
        <f t="shared" si="23"/>
        <v>12777.22</v>
      </c>
      <c r="N755" s="9" t="str" cm="1">
        <f t="array" ref="N755">_xlfn.IFS(C755&lt;18,"Under 18",C755&lt;36,"18-35",C755&lt;51,"36-50",C755&lt;66,"51-65",C755&gt;=66,"Above 65")</f>
        <v>Above 65</v>
      </c>
      <c r="O755" s="6"/>
    </row>
    <row r="756" spans="1:15" x14ac:dyDescent="0.35">
      <c r="A756" t="s">
        <v>1375</v>
      </c>
      <c r="B756" t="s">
        <v>1376</v>
      </c>
      <c r="C756">
        <v>28</v>
      </c>
      <c r="D756" t="s">
        <v>18</v>
      </c>
      <c r="E756" s="5">
        <v>45362</v>
      </c>
      <c r="F756" s="5">
        <v>45363</v>
      </c>
      <c r="G756">
        <f t="shared" si="22"/>
        <v>1</v>
      </c>
      <c r="H756" t="s">
        <v>23</v>
      </c>
      <c r="I756" t="s">
        <v>41</v>
      </c>
      <c r="J756" s="2">
        <v>824.72</v>
      </c>
      <c r="K756" s="6">
        <v>0.8</v>
      </c>
      <c r="L756" t="s">
        <v>15</v>
      </c>
      <c r="M756" s="3">
        <f t="shared" si="23"/>
        <v>824.72</v>
      </c>
      <c r="N756" s="9" t="str" cm="1">
        <f t="array" ref="N756">_xlfn.IFS(C756&lt;18,"Under 18",C756&lt;36,"18-35",C756&lt;51,"36-50",C756&lt;66,"51-65",C756&gt;=66,"Above 65")</f>
        <v>18-35</v>
      </c>
      <c r="O756" s="6"/>
    </row>
    <row r="757" spans="1:15" x14ac:dyDescent="0.35">
      <c r="A757" t="s">
        <v>1377</v>
      </c>
      <c r="B757" t="s">
        <v>1011</v>
      </c>
      <c r="C757">
        <v>77</v>
      </c>
      <c r="D757" t="s">
        <v>12</v>
      </c>
      <c r="E757" s="5">
        <v>45744</v>
      </c>
      <c r="F757" s="5">
        <v>45748</v>
      </c>
      <c r="G757">
        <f t="shared" si="22"/>
        <v>4</v>
      </c>
      <c r="H757" t="s">
        <v>70</v>
      </c>
      <c r="I757" t="s">
        <v>194</v>
      </c>
      <c r="J757" s="2">
        <v>7892.83</v>
      </c>
      <c r="K757" s="6">
        <v>0.9</v>
      </c>
      <c r="L757" t="s">
        <v>15</v>
      </c>
      <c r="M757" s="3">
        <f t="shared" si="23"/>
        <v>7892.83</v>
      </c>
      <c r="N757" s="9" t="str" cm="1">
        <f t="array" ref="N757">_xlfn.IFS(C757&lt;18,"Under 18",C757&lt;36,"18-35",C757&lt;51,"36-50",C757&lt;66,"51-65",C757&gt;=66,"Above 65")</f>
        <v>Above 65</v>
      </c>
      <c r="O757" s="6"/>
    </row>
    <row r="758" spans="1:15" x14ac:dyDescent="0.35">
      <c r="A758" t="s">
        <v>1378</v>
      </c>
      <c r="B758" t="s">
        <v>913</v>
      </c>
      <c r="C758">
        <v>34</v>
      </c>
      <c r="D758" t="s">
        <v>18</v>
      </c>
      <c r="E758" s="5">
        <v>45537</v>
      </c>
      <c r="F758" s="5">
        <v>45539</v>
      </c>
      <c r="G758">
        <f t="shared" si="22"/>
        <v>2</v>
      </c>
      <c r="H758" t="s">
        <v>23</v>
      </c>
      <c r="I758" t="s">
        <v>82</v>
      </c>
      <c r="J758" s="2">
        <v>4965.79</v>
      </c>
      <c r="K758" s="6">
        <v>0.8</v>
      </c>
      <c r="L758" t="s">
        <v>15</v>
      </c>
      <c r="M758" s="3">
        <f t="shared" si="23"/>
        <v>4965.79</v>
      </c>
      <c r="N758" s="9" t="str" cm="1">
        <f t="array" ref="N758">_xlfn.IFS(C758&lt;18,"Under 18",C758&lt;36,"18-35",C758&lt;51,"36-50",C758&lt;66,"51-65",C758&gt;=66,"Above 65")</f>
        <v>18-35</v>
      </c>
      <c r="O758" s="6"/>
    </row>
    <row r="759" spans="1:15" x14ac:dyDescent="0.35">
      <c r="A759" t="s">
        <v>1379</v>
      </c>
      <c r="B759" t="s">
        <v>1380</v>
      </c>
      <c r="C759">
        <v>8</v>
      </c>
      <c r="D759" t="s">
        <v>18</v>
      </c>
      <c r="E759" s="5">
        <v>45370</v>
      </c>
      <c r="F759" s="5">
        <v>45372</v>
      </c>
      <c r="G759">
        <f t="shared" si="22"/>
        <v>2</v>
      </c>
      <c r="H759" t="s">
        <v>49</v>
      </c>
      <c r="I759" t="s">
        <v>123</v>
      </c>
      <c r="J759" s="2">
        <v>1380.95</v>
      </c>
      <c r="K759" s="6">
        <v>0.7</v>
      </c>
      <c r="L759" t="s">
        <v>15</v>
      </c>
      <c r="M759" s="3">
        <f t="shared" si="23"/>
        <v>1380.95</v>
      </c>
      <c r="N759" s="9" t="str" cm="1">
        <f t="array" ref="N759">_xlfn.IFS(C759&lt;18,"Under 18",C759&lt;36,"18-35",C759&lt;51,"36-50",C759&lt;66,"51-65",C759&gt;=66,"Above 65")</f>
        <v>Under 18</v>
      </c>
      <c r="O759" s="6"/>
    </row>
    <row r="760" spans="1:15" x14ac:dyDescent="0.35">
      <c r="A760" t="s">
        <v>1381</v>
      </c>
      <c r="B760" t="s">
        <v>1382</v>
      </c>
      <c r="C760">
        <v>41</v>
      </c>
      <c r="D760" t="s">
        <v>12</v>
      </c>
      <c r="E760" s="5">
        <v>45484</v>
      </c>
      <c r="F760" s="5">
        <v>45485</v>
      </c>
      <c r="G760">
        <f t="shared" si="22"/>
        <v>1</v>
      </c>
      <c r="H760" t="s">
        <v>31</v>
      </c>
      <c r="I760" t="s">
        <v>53</v>
      </c>
      <c r="J760" s="2">
        <v>783.53</v>
      </c>
      <c r="K760" s="6">
        <v>0.5</v>
      </c>
      <c r="L760" t="s">
        <v>15</v>
      </c>
      <c r="M760" s="3">
        <f t="shared" si="23"/>
        <v>783.53</v>
      </c>
      <c r="N760" s="9" t="str" cm="1">
        <f t="array" ref="N760">_xlfn.IFS(C760&lt;18,"Under 18",C760&lt;36,"18-35",C760&lt;51,"36-50",C760&lt;66,"51-65",C760&gt;=66,"Above 65")</f>
        <v>36-50</v>
      </c>
      <c r="O760" s="6"/>
    </row>
    <row r="761" spans="1:15" x14ac:dyDescent="0.35">
      <c r="A761" t="s">
        <v>1383</v>
      </c>
      <c r="B761" t="s">
        <v>686</v>
      </c>
      <c r="C761">
        <v>50</v>
      </c>
      <c r="D761" t="s">
        <v>12</v>
      </c>
      <c r="E761" s="5">
        <v>45702</v>
      </c>
      <c r="F761" s="5">
        <v>45703</v>
      </c>
      <c r="G761">
        <f t="shared" si="22"/>
        <v>1</v>
      </c>
      <c r="H761" t="s">
        <v>31</v>
      </c>
      <c r="I761" t="s">
        <v>35</v>
      </c>
      <c r="J761" s="2">
        <v>644.33000000000004</v>
      </c>
      <c r="K761" s="6">
        <v>0.5</v>
      </c>
      <c r="L761" t="s">
        <v>25</v>
      </c>
      <c r="M761" s="3">
        <f t="shared" si="23"/>
        <v>0</v>
      </c>
      <c r="N761" s="9" t="str" cm="1">
        <f t="array" ref="N761">_xlfn.IFS(C761&lt;18,"Under 18",C761&lt;36,"18-35",C761&lt;51,"36-50",C761&lt;66,"51-65",C761&gt;=66,"Above 65")</f>
        <v>36-50</v>
      </c>
      <c r="O761" s="6"/>
    </row>
    <row r="762" spans="1:15" x14ac:dyDescent="0.35">
      <c r="A762" t="s">
        <v>1384</v>
      </c>
      <c r="B762" t="s">
        <v>1385</v>
      </c>
      <c r="C762">
        <v>64</v>
      </c>
      <c r="D762" t="s">
        <v>12</v>
      </c>
      <c r="E762" s="5">
        <v>45986</v>
      </c>
      <c r="F762" s="5">
        <v>45987</v>
      </c>
      <c r="G762">
        <f t="shared" si="22"/>
        <v>1</v>
      </c>
      <c r="H762" t="s">
        <v>23</v>
      </c>
      <c r="I762" t="s">
        <v>24</v>
      </c>
      <c r="J762" s="2">
        <v>803.78</v>
      </c>
      <c r="K762" s="6">
        <v>0.9</v>
      </c>
      <c r="L762" t="s">
        <v>15</v>
      </c>
      <c r="M762" s="3">
        <f t="shared" si="23"/>
        <v>803.78</v>
      </c>
      <c r="N762" s="9" t="str" cm="1">
        <f t="array" ref="N762">_xlfn.IFS(C762&lt;18,"Under 18",C762&lt;36,"18-35",C762&lt;51,"36-50",C762&lt;66,"51-65",C762&gt;=66,"Above 65")</f>
        <v>51-65</v>
      </c>
      <c r="O762" s="6"/>
    </row>
    <row r="763" spans="1:15" x14ac:dyDescent="0.35">
      <c r="A763" t="s">
        <v>1386</v>
      </c>
      <c r="B763" t="s">
        <v>1387</v>
      </c>
      <c r="C763">
        <v>32</v>
      </c>
      <c r="D763" t="s">
        <v>12</v>
      </c>
      <c r="E763" s="5">
        <v>45909</v>
      </c>
      <c r="F763" s="5">
        <v>45916</v>
      </c>
      <c r="G763">
        <f t="shared" si="22"/>
        <v>7</v>
      </c>
      <c r="H763" t="s">
        <v>31</v>
      </c>
      <c r="I763" t="s">
        <v>87</v>
      </c>
      <c r="J763" s="2">
        <v>7286.69</v>
      </c>
      <c r="K763" s="6">
        <v>0.8</v>
      </c>
      <c r="L763" t="s">
        <v>15</v>
      </c>
      <c r="M763" s="3">
        <f t="shared" si="23"/>
        <v>7286.69</v>
      </c>
      <c r="N763" s="9" t="str" cm="1">
        <f t="array" ref="N763">_xlfn.IFS(C763&lt;18,"Under 18",C763&lt;36,"18-35",C763&lt;51,"36-50",C763&lt;66,"51-65",C763&gt;=66,"Above 65")</f>
        <v>18-35</v>
      </c>
      <c r="O763" s="6"/>
    </row>
    <row r="764" spans="1:15" x14ac:dyDescent="0.35">
      <c r="A764" t="s">
        <v>1388</v>
      </c>
      <c r="B764" t="s">
        <v>1389</v>
      </c>
      <c r="C764">
        <v>47</v>
      </c>
      <c r="D764" t="s">
        <v>18</v>
      </c>
      <c r="E764" s="5">
        <v>45597</v>
      </c>
      <c r="F764" s="5">
        <v>45600</v>
      </c>
      <c r="G764">
        <f t="shared" si="22"/>
        <v>3</v>
      </c>
      <c r="H764" t="s">
        <v>23</v>
      </c>
      <c r="I764" t="s">
        <v>333</v>
      </c>
      <c r="J764" s="2">
        <v>6520.03</v>
      </c>
      <c r="K764" s="6">
        <v>0.8</v>
      </c>
      <c r="L764" t="s">
        <v>15</v>
      </c>
      <c r="M764" s="3">
        <f t="shared" si="23"/>
        <v>6520.03</v>
      </c>
      <c r="N764" s="9" t="str" cm="1">
        <f t="array" ref="N764">_xlfn.IFS(C764&lt;18,"Under 18",C764&lt;36,"18-35",C764&lt;51,"36-50",C764&lt;66,"51-65",C764&gt;=66,"Above 65")</f>
        <v>36-50</v>
      </c>
      <c r="O764" s="6"/>
    </row>
    <row r="765" spans="1:15" x14ac:dyDescent="0.35">
      <c r="A765" t="s">
        <v>1390</v>
      </c>
      <c r="B765" t="s">
        <v>106</v>
      </c>
      <c r="C765">
        <v>46</v>
      </c>
      <c r="D765" t="s">
        <v>18</v>
      </c>
      <c r="E765" s="5">
        <v>45992</v>
      </c>
      <c r="F765" s="5">
        <v>45993</v>
      </c>
      <c r="G765">
        <f t="shared" si="22"/>
        <v>1</v>
      </c>
      <c r="H765" t="s">
        <v>31</v>
      </c>
      <c r="I765" t="s">
        <v>35</v>
      </c>
      <c r="J765" s="2">
        <v>1101.07</v>
      </c>
      <c r="K765" s="6">
        <v>0.7</v>
      </c>
      <c r="L765" t="s">
        <v>20</v>
      </c>
      <c r="M765" s="3">
        <f t="shared" si="23"/>
        <v>0</v>
      </c>
      <c r="N765" s="9" t="str" cm="1">
        <f t="array" ref="N765">_xlfn.IFS(C765&lt;18,"Under 18",C765&lt;36,"18-35",C765&lt;51,"36-50",C765&lt;66,"51-65",C765&gt;=66,"Above 65")</f>
        <v>36-50</v>
      </c>
      <c r="O765" s="6"/>
    </row>
    <row r="766" spans="1:15" x14ac:dyDescent="0.35">
      <c r="A766" t="s">
        <v>1391</v>
      </c>
      <c r="B766" t="s">
        <v>523</v>
      </c>
      <c r="C766">
        <v>48</v>
      </c>
      <c r="D766" t="s">
        <v>18</v>
      </c>
      <c r="E766" s="5">
        <v>45904</v>
      </c>
      <c r="F766" s="5">
        <v>45914</v>
      </c>
      <c r="G766">
        <f t="shared" si="22"/>
        <v>10</v>
      </c>
      <c r="H766" t="s">
        <v>13</v>
      </c>
      <c r="I766" t="s">
        <v>19</v>
      </c>
      <c r="J766" s="2">
        <v>15930.98</v>
      </c>
      <c r="K766" s="6">
        <v>0.8</v>
      </c>
      <c r="L766" t="s">
        <v>15</v>
      </c>
      <c r="M766" s="3">
        <f t="shared" si="23"/>
        <v>15930.98</v>
      </c>
      <c r="N766" s="9" t="str" cm="1">
        <f t="array" ref="N766">_xlfn.IFS(C766&lt;18,"Under 18",C766&lt;36,"18-35",C766&lt;51,"36-50",C766&lt;66,"51-65",C766&gt;=66,"Above 65")</f>
        <v>36-50</v>
      </c>
      <c r="O766" s="6"/>
    </row>
    <row r="767" spans="1:15" x14ac:dyDescent="0.35">
      <c r="A767" t="s">
        <v>1392</v>
      </c>
      <c r="B767" t="s">
        <v>1393</v>
      </c>
      <c r="C767">
        <v>47</v>
      </c>
      <c r="D767" t="s">
        <v>12</v>
      </c>
      <c r="E767" s="5">
        <v>45557</v>
      </c>
      <c r="F767" s="5">
        <v>45564</v>
      </c>
      <c r="G767">
        <f t="shared" si="22"/>
        <v>7</v>
      </c>
      <c r="H767" t="s">
        <v>31</v>
      </c>
      <c r="I767" t="s">
        <v>114</v>
      </c>
      <c r="J767" s="2">
        <v>6394.95</v>
      </c>
      <c r="K767" s="6">
        <v>1</v>
      </c>
      <c r="L767" t="s">
        <v>25</v>
      </c>
      <c r="M767" s="3">
        <f t="shared" si="23"/>
        <v>0</v>
      </c>
      <c r="N767" s="9" t="str" cm="1">
        <f t="array" ref="N767">_xlfn.IFS(C767&lt;18,"Under 18",C767&lt;36,"18-35",C767&lt;51,"36-50",C767&lt;66,"51-65",C767&gt;=66,"Above 65")</f>
        <v>36-50</v>
      </c>
      <c r="O767" s="6"/>
    </row>
    <row r="768" spans="1:15" x14ac:dyDescent="0.35">
      <c r="A768" t="s">
        <v>1394</v>
      </c>
      <c r="B768" t="s">
        <v>141</v>
      </c>
      <c r="C768">
        <v>18</v>
      </c>
      <c r="D768" t="s">
        <v>12</v>
      </c>
      <c r="E768" s="5">
        <v>45292</v>
      </c>
      <c r="F768" s="5">
        <v>45294</v>
      </c>
      <c r="G768">
        <f t="shared" si="22"/>
        <v>2</v>
      </c>
      <c r="H768" t="s">
        <v>31</v>
      </c>
      <c r="I768" t="s">
        <v>44</v>
      </c>
      <c r="J768" s="2">
        <v>2803.03</v>
      </c>
      <c r="K768" s="6">
        <v>0.9</v>
      </c>
      <c r="L768" t="s">
        <v>15</v>
      </c>
      <c r="M768" s="3">
        <f t="shared" si="23"/>
        <v>2803.03</v>
      </c>
      <c r="N768" s="9" t="str" cm="1">
        <f t="array" ref="N768">_xlfn.IFS(C768&lt;18,"Under 18",C768&lt;36,"18-35",C768&lt;51,"36-50",C768&lt;66,"51-65",C768&gt;=66,"Above 65")</f>
        <v>18-35</v>
      </c>
      <c r="O768" s="6"/>
    </row>
    <row r="769" spans="1:15" x14ac:dyDescent="0.35">
      <c r="A769" t="s">
        <v>1395</v>
      </c>
      <c r="B769" t="s">
        <v>1026</v>
      </c>
      <c r="C769">
        <v>41</v>
      </c>
      <c r="D769" t="s">
        <v>12</v>
      </c>
      <c r="E769" s="5">
        <v>45316</v>
      </c>
      <c r="F769" s="5">
        <v>45319</v>
      </c>
      <c r="G769">
        <f t="shared" si="22"/>
        <v>3</v>
      </c>
      <c r="H769" t="s">
        <v>70</v>
      </c>
      <c r="I769" t="s">
        <v>71</v>
      </c>
      <c r="J769" s="2">
        <v>4689.5200000000004</v>
      </c>
      <c r="K769" s="6">
        <v>0.8</v>
      </c>
      <c r="L769" t="s">
        <v>15</v>
      </c>
      <c r="M769" s="3">
        <f t="shared" si="23"/>
        <v>4689.5200000000004</v>
      </c>
      <c r="N769" s="9" t="str" cm="1">
        <f t="array" ref="N769">_xlfn.IFS(C769&lt;18,"Under 18",C769&lt;36,"18-35",C769&lt;51,"36-50",C769&lt;66,"51-65",C769&gt;=66,"Above 65")</f>
        <v>36-50</v>
      </c>
      <c r="O769" s="6"/>
    </row>
    <row r="770" spans="1:15" x14ac:dyDescent="0.35">
      <c r="A770" t="s">
        <v>1396</v>
      </c>
      <c r="B770" t="s">
        <v>1397</v>
      </c>
      <c r="C770">
        <v>67</v>
      </c>
      <c r="D770" t="s">
        <v>18</v>
      </c>
      <c r="E770" s="5">
        <v>45514</v>
      </c>
      <c r="F770" s="5">
        <v>45524</v>
      </c>
      <c r="G770">
        <f t="shared" si="22"/>
        <v>10</v>
      </c>
      <c r="H770" t="s">
        <v>70</v>
      </c>
      <c r="I770" t="s">
        <v>295</v>
      </c>
      <c r="J770" s="2">
        <v>13724.66</v>
      </c>
      <c r="K770" s="6">
        <v>0.8</v>
      </c>
      <c r="L770" t="s">
        <v>15</v>
      </c>
      <c r="M770" s="3">
        <f t="shared" si="23"/>
        <v>13724.66</v>
      </c>
      <c r="N770" s="9" t="str" cm="1">
        <f t="array" ref="N770">_xlfn.IFS(C770&lt;18,"Under 18",C770&lt;36,"18-35",C770&lt;51,"36-50",C770&lt;66,"51-65",C770&gt;=66,"Above 65")</f>
        <v>Above 65</v>
      </c>
      <c r="O770" s="6"/>
    </row>
    <row r="771" spans="1:15" x14ac:dyDescent="0.35">
      <c r="A771" t="s">
        <v>1398</v>
      </c>
      <c r="B771" t="s">
        <v>1399</v>
      </c>
      <c r="C771">
        <v>74</v>
      </c>
      <c r="D771" t="s">
        <v>12</v>
      </c>
      <c r="E771" s="5">
        <v>45708</v>
      </c>
      <c r="F771" s="5">
        <v>45712</v>
      </c>
      <c r="G771">
        <f t="shared" ref="G771:G834" si="24">DATEDIF(E771,F771,"D")</f>
        <v>4</v>
      </c>
      <c r="H771" t="s">
        <v>13</v>
      </c>
      <c r="I771" t="s">
        <v>38</v>
      </c>
      <c r="J771" s="2">
        <v>9130.48</v>
      </c>
      <c r="K771" s="6">
        <v>0.6</v>
      </c>
      <c r="L771" t="s">
        <v>25</v>
      </c>
      <c r="M771" s="3">
        <f t="shared" ref="M771:M834" si="25">IF(L771 = "Paid",J771,0)</f>
        <v>0</v>
      </c>
      <c r="N771" s="9" t="str" cm="1">
        <f t="array" ref="N771">_xlfn.IFS(C771&lt;18,"Under 18",C771&lt;36,"18-35",C771&lt;51,"36-50",C771&lt;66,"51-65",C771&gt;=66,"Above 65")</f>
        <v>Above 65</v>
      </c>
      <c r="O771" s="6"/>
    </row>
    <row r="772" spans="1:15" x14ac:dyDescent="0.35">
      <c r="A772" t="s">
        <v>1400</v>
      </c>
      <c r="B772" t="s">
        <v>1206</v>
      </c>
      <c r="C772">
        <v>32</v>
      </c>
      <c r="D772" t="s">
        <v>18</v>
      </c>
      <c r="E772" s="5">
        <v>45402</v>
      </c>
      <c r="F772" s="5">
        <v>45403</v>
      </c>
      <c r="G772">
        <f t="shared" si="24"/>
        <v>1</v>
      </c>
      <c r="H772" t="s">
        <v>23</v>
      </c>
      <c r="I772" t="s">
        <v>333</v>
      </c>
      <c r="J772" s="2">
        <v>2383.8000000000002</v>
      </c>
      <c r="K772" s="6">
        <v>0.7</v>
      </c>
      <c r="L772" t="s">
        <v>15</v>
      </c>
      <c r="M772" s="3">
        <f t="shared" si="25"/>
        <v>2383.8000000000002</v>
      </c>
      <c r="N772" s="9" t="str" cm="1">
        <f t="array" ref="N772">_xlfn.IFS(C772&lt;18,"Under 18",C772&lt;36,"18-35",C772&lt;51,"36-50",C772&lt;66,"51-65",C772&gt;=66,"Above 65")</f>
        <v>18-35</v>
      </c>
      <c r="O772" s="6"/>
    </row>
    <row r="773" spans="1:15" x14ac:dyDescent="0.35">
      <c r="A773" t="s">
        <v>1401</v>
      </c>
      <c r="B773" t="s">
        <v>1402</v>
      </c>
      <c r="C773">
        <v>51</v>
      </c>
      <c r="D773" t="s">
        <v>18</v>
      </c>
      <c r="E773" s="5">
        <v>45297</v>
      </c>
      <c r="F773" s="5">
        <v>45300</v>
      </c>
      <c r="G773">
        <f t="shared" si="24"/>
        <v>3</v>
      </c>
      <c r="H773" t="s">
        <v>31</v>
      </c>
      <c r="I773" t="s">
        <v>114</v>
      </c>
      <c r="J773" s="2">
        <v>1901.75</v>
      </c>
      <c r="K773" s="6">
        <v>0.7</v>
      </c>
      <c r="L773" t="s">
        <v>20</v>
      </c>
      <c r="M773" s="3">
        <f t="shared" si="25"/>
        <v>0</v>
      </c>
      <c r="N773" s="9" t="str" cm="1">
        <f t="array" ref="N773">_xlfn.IFS(C773&lt;18,"Under 18",C773&lt;36,"18-35",C773&lt;51,"36-50",C773&lt;66,"51-65",C773&gt;=66,"Above 65")</f>
        <v>51-65</v>
      </c>
      <c r="O773" s="6"/>
    </row>
    <row r="774" spans="1:15" x14ac:dyDescent="0.35">
      <c r="A774" t="s">
        <v>1403</v>
      </c>
      <c r="B774" t="s">
        <v>846</v>
      </c>
      <c r="C774">
        <v>55</v>
      </c>
      <c r="D774" t="s">
        <v>12</v>
      </c>
      <c r="E774" s="5">
        <v>45832</v>
      </c>
      <c r="F774" s="5">
        <v>45835</v>
      </c>
      <c r="G774">
        <f t="shared" si="24"/>
        <v>3</v>
      </c>
      <c r="H774" t="s">
        <v>23</v>
      </c>
      <c r="I774" t="s">
        <v>28</v>
      </c>
      <c r="J774" s="2">
        <v>5558.16</v>
      </c>
      <c r="K774" s="6">
        <v>0.6</v>
      </c>
      <c r="L774" t="s">
        <v>15</v>
      </c>
      <c r="M774" s="3">
        <f t="shared" si="25"/>
        <v>5558.16</v>
      </c>
      <c r="N774" s="9" t="str" cm="1">
        <f t="array" ref="N774">_xlfn.IFS(C774&lt;18,"Under 18",C774&lt;36,"18-35",C774&lt;51,"36-50",C774&lt;66,"51-65",C774&gt;=66,"Above 65")</f>
        <v>51-65</v>
      </c>
      <c r="O774" s="6"/>
    </row>
    <row r="775" spans="1:15" x14ac:dyDescent="0.35">
      <c r="A775" t="s">
        <v>1404</v>
      </c>
      <c r="B775" t="s">
        <v>1405</v>
      </c>
      <c r="C775">
        <v>34</v>
      </c>
      <c r="D775" t="s">
        <v>12</v>
      </c>
      <c r="E775" s="5">
        <v>45805</v>
      </c>
      <c r="F775" s="5">
        <v>45812</v>
      </c>
      <c r="G775">
        <f t="shared" si="24"/>
        <v>7</v>
      </c>
      <c r="H775" t="s">
        <v>31</v>
      </c>
      <c r="I775" t="s">
        <v>87</v>
      </c>
      <c r="J775" s="2">
        <v>4500.7</v>
      </c>
      <c r="K775" s="6">
        <v>0.9</v>
      </c>
      <c r="L775" t="s">
        <v>15</v>
      </c>
      <c r="M775" s="3">
        <f t="shared" si="25"/>
        <v>4500.7</v>
      </c>
      <c r="N775" s="9" t="str" cm="1">
        <f t="array" ref="N775">_xlfn.IFS(C775&lt;18,"Under 18",C775&lt;36,"18-35",C775&lt;51,"36-50",C775&lt;66,"51-65",C775&gt;=66,"Above 65")</f>
        <v>18-35</v>
      </c>
      <c r="O775" s="6"/>
    </row>
    <row r="776" spans="1:15" x14ac:dyDescent="0.35">
      <c r="A776" t="s">
        <v>1406</v>
      </c>
      <c r="B776" t="s">
        <v>1407</v>
      </c>
      <c r="C776">
        <v>81</v>
      </c>
      <c r="D776" t="s">
        <v>12</v>
      </c>
      <c r="E776" s="5">
        <v>45699</v>
      </c>
      <c r="F776" s="5">
        <v>45704</v>
      </c>
      <c r="G776">
        <f t="shared" si="24"/>
        <v>5</v>
      </c>
      <c r="H776" t="s">
        <v>13</v>
      </c>
      <c r="I776" t="s">
        <v>38</v>
      </c>
      <c r="J776" s="2">
        <v>9036.9</v>
      </c>
      <c r="K776" s="6">
        <v>0.5</v>
      </c>
      <c r="L776" t="s">
        <v>20</v>
      </c>
      <c r="M776" s="3">
        <f t="shared" si="25"/>
        <v>0</v>
      </c>
      <c r="N776" s="9" t="str" cm="1">
        <f t="array" ref="N776">_xlfn.IFS(C776&lt;18,"Under 18",C776&lt;36,"18-35",C776&lt;51,"36-50",C776&lt;66,"51-65",C776&gt;=66,"Above 65")</f>
        <v>Above 65</v>
      </c>
      <c r="O776" s="6"/>
    </row>
    <row r="777" spans="1:15" x14ac:dyDescent="0.35">
      <c r="A777" t="s">
        <v>1408</v>
      </c>
      <c r="B777" t="s">
        <v>1409</v>
      </c>
      <c r="C777">
        <v>83</v>
      </c>
      <c r="D777" t="s">
        <v>12</v>
      </c>
      <c r="E777" s="5">
        <v>45827</v>
      </c>
      <c r="F777" s="5">
        <v>45832</v>
      </c>
      <c r="G777">
        <f t="shared" si="24"/>
        <v>5</v>
      </c>
      <c r="H777" t="s">
        <v>31</v>
      </c>
      <c r="I777" t="s">
        <v>234</v>
      </c>
      <c r="J777" s="2">
        <v>4404.2299999999996</v>
      </c>
      <c r="K777" s="6">
        <v>0.5</v>
      </c>
      <c r="L777" t="s">
        <v>25</v>
      </c>
      <c r="M777" s="3">
        <f t="shared" si="25"/>
        <v>0</v>
      </c>
      <c r="N777" s="9" t="str" cm="1">
        <f t="array" ref="N777">_xlfn.IFS(C777&lt;18,"Under 18",C777&lt;36,"18-35",C777&lt;51,"36-50",C777&lt;66,"51-65",C777&gt;=66,"Above 65")</f>
        <v>Above 65</v>
      </c>
      <c r="O777" s="6"/>
    </row>
    <row r="778" spans="1:15" x14ac:dyDescent="0.35">
      <c r="A778" t="s">
        <v>1410</v>
      </c>
      <c r="B778" t="s">
        <v>1115</v>
      </c>
      <c r="C778">
        <v>51</v>
      </c>
      <c r="D778" t="s">
        <v>12</v>
      </c>
      <c r="E778" s="5">
        <v>45465</v>
      </c>
      <c r="F778" s="5">
        <v>45470</v>
      </c>
      <c r="G778">
        <f t="shared" si="24"/>
        <v>5</v>
      </c>
      <c r="H778" t="s">
        <v>31</v>
      </c>
      <c r="I778" t="s">
        <v>114</v>
      </c>
      <c r="J778" s="2">
        <v>4907.47</v>
      </c>
      <c r="K778" s="6">
        <v>0.8</v>
      </c>
      <c r="L778" t="s">
        <v>15</v>
      </c>
      <c r="M778" s="3">
        <f t="shared" si="25"/>
        <v>4907.47</v>
      </c>
      <c r="N778" s="9" t="str" cm="1">
        <f t="array" ref="N778">_xlfn.IFS(C778&lt;18,"Under 18",C778&lt;36,"18-35",C778&lt;51,"36-50",C778&lt;66,"51-65",C778&gt;=66,"Above 65")</f>
        <v>51-65</v>
      </c>
      <c r="O778" s="6"/>
    </row>
    <row r="779" spans="1:15" x14ac:dyDescent="0.35">
      <c r="A779" t="s">
        <v>1411</v>
      </c>
      <c r="B779" t="s">
        <v>1412</v>
      </c>
      <c r="C779">
        <v>71</v>
      </c>
      <c r="D779" t="s">
        <v>12</v>
      </c>
      <c r="E779" s="5">
        <v>45731</v>
      </c>
      <c r="F779" s="5">
        <v>45741</v>
      </c>
      <c r="G779">
        <f t="shared" si="24"/>
        <v>10</v>
      </c>
      <c r="H779" t="s">
        <v>13</v>
      </c>
      <c r="I779" t="s">
        <v>14</v>
      </c>
      <c r="J779" s="2">
        <v>26768.21</v>
      </c>
      <c r="K779" s="6">
        <v>1</v>
      </c>
      <c r="L779" t="s">
        <v>25</v>
      </c>
      <c r="M779" s="3">
        <f t="shared" si="25"/>
        <v>0</v>
      </c>
      <c r="N779" s="9" t="str" cm="1">
        <f t="array" ref="N779">_xlfn.IFS(C779&lt;18,"Under 18",C779&lt;36,"18-35",C779&lt;51,"36-50",C779&lt;66,"51-65",C779&gt;=66,"Above 65")</f>
        <v>Above 65</v>
      </c>
      <c r="O779" s="6"/>
    </row>
    <row r="780" spans="1:15" x14ac:dyDescent="0.35">
      <c r="A780" t="s">
        <v>1413</v>
      </c>
      <c r="B780" t="s">
        <v>1414</v>
      </c>
      <c r="C780">
        <v>85</v>
      </c>
      <c r="D780" t="s">
        <v>18</v>
      </c>
      <c r="E780" s="5">
        <v>45811</v>
      </c>
      <c r="F780" s="5">
        <v>45815</v>
      </c>
      <c r="G780">
        <f t="shared" si="24"/>
        <v>4</v>
      </c>
      <c r="H780" t="s">
        <v>31</v>
      </c>
      <c r="I780" t="s">
        <v>44</v>
      </c>
      <c r="J780" s="2">
        <v>2615.96</v>
      </c>
      <c r="K780" s="6">
        <v>1</v>
      </c>
      <c r="L780" t="s">
        <v>15</v>
      </c>
      <c r="M780" s="3">
        <f t="shared" si="25"/>
        <v>2615.96</v>
      </c>
      <c r="N780" s="9" t="str" cm="1">
        <f t="array" ref="N780">_xlfn.IFS(C780&lt;18,"Under 18",C780&lt;36,"18-35",C780&lt;51,"36-50",C780&lt;66,"51-65",C780&gt;=66,"Above 65")</f>
        <v>Above 65</v>
      </c>
      <c r="O780" s="6"/>
    </row>
    <row r="781" spans="1:15" x14ac:dyDescent="0.35">
      <c r="A781" t="s">
        <v>1415</v>
      </c>
      <c r="B781" t="s">
        <v>1416</v>
      </c>
      <c r="C781">
        <v>74</v>
      </c>
      <c r="D781" t="s">
        <v>12</v>
      </c>
      <c r="E781" s="5">
        <v>46008</v>
      </c>
      <c r="F781" s="5">
        <v>46014</v>
      </c>
      <c r="G781">
        <f t="shared" si="24"/>
        <v>6</v>
      </c>
      <c r="H781" t="s">
        <v>31</v>
      </c>
      <c r="I781" t="s">
        <v>234</v>
      </c>
      <c r="J781" s="2">
        <v>7371.54</v>
      </c>
      <c r="K781" s="6">
        <v>0.7</v>
      </c>
      <c r="L781" t="s">
        <v>25</v>
      </c>
      <c r="M781" s="3">
        <f t="shared" si="25"/>
        <v>0</v>
      </c>
      <c r="N781" s="9" t="str" cm="1">
        <f t="array" ref="N781">_xlfn.IFS(C781&lt;18,"Under 18",C781&lt;36,"18-35",C781&lt;51,"36-50",C781&lt;66,"51-65",C781&gt;=66,"Above 65")</f>
        <v>Above 65</v>
      </c>
      <c r="O781" s="6"/>
    </row>
    <row r="782" spans="1:15" x14ac:dyDescent="0.35">
      <c r="A782" t="s">
        <v>1417</v>
      </c>
      <c r="B782" t="s">
        <v>1418</v>
      </c>
      <c r="C782">
        <v>74</v>
      </c>
      <c r="D782" t="s">
        <v>18</v>
      </c>
      <c r="E782" s="5">
        <v>45657</v>
      </c>
      <c r="F782" s="5">
        <v>45658</v>
      </c>
      <c r="G782">
        <f t="shared" si="24"/>
        <v>1</v>
      </c>
      <c r="H782" t="s">
        <v>23</v>
      </c>
      <c r="I782" t="s">
        <v>204</v>
      </c>
      <c r="J782" s="2">
        <v>1984.12</v>
      </c>
      <c r="K782" s="6">
        <v>0.7</v>
      </c>
      <c r="L782" t="s">
        <v>20</v>
      </c>
      <c r="M782" s="3">
        <f t="shared" si="25"/>
        <v>0</v>
      </c>
      <c r="N782" s="9" t="str" cm="1">
        <f t="array" ref="N782">_xlfn.IFS(C782&lt;18,"Under 18",C782&lt;36,"18-35",C782&lt;51,"36-50",C782&lt;66,"51-65",C782&gt;=66,"Above 65")</f>
        <v>Above 65</v>
      </c>
      <c r="O782" s="6"/>
    </row>
    <row r="783" spans="1:15" x14ac:dyDescent="0.35">
      <c r="A783" t="s">
        <v>1419</v>
      </c>
      <c r="B783" t="s">
        <v>1182</v>
      </c>
      <c r="C783">
        <v>42</v>
      </c>
      <c r="D783" t="s">
        <v>18</v>
      </c>
      <c r="E783" s="5">
        <v>45755</v>
      </c>
      <c r="F783" s="5">
        <v>45761</v>
      </c>
      <c r="G783">
        <f t="shared" si="24"/>
        <v>6</v>
      </c>
      <c r="H783" t="s">
        <v>70</v>
      </c>
      <c r="I783" t="s">
        <v>94</v>
      </c>
      <c r="J783" s="2">
        <v>15265.35</v>
      </c>
      <c r="K783" s="6">
        <v>1</v>
      </c>
      <c r="L783" t="s">
        <v>15</v>
      </c>
      <c r="M783" s="3">
        <f t="shared" si="25"/>
        <v>15265.35</v>
      </c>
      <c r="N783" s="9" t="str" cm="1">
        <f t="array" ref="N783">_xlfn.IFS(C783&lt;18,"Under 18",C783&lt;36,"18-35",C783&lt;51,"36-50",C783&lt;66,"51-65",C783&gt;=66,"Above 65")</f>
        <v>36-50</v>
      </c>
      <c r="O783" s="6"/>
    </row>
    <row r="784" spans="1:15" x14ac:dyDescent="0.35">
      <c r="A784" t="s">
        <v>1420</v>
      </c>
      <c r="B784" t="s">
        <v>1421</v>
      </c>
      <c r="C784">
        <v>43</v>
      </c>
      <c r="D784" t="s">
        <v>12</v>
      </c>
      <c r="E784" s="5">
        <v>45574</v>
      </c>
      <c r="F784" s="5">
        <v>45585</v>
      </c>
      <c r="G784">
        <f t="shared" si="24"/>
        <v>11</v>
      </c>
      <c r="H784" t="s">
        <v>70</v>
      </c>
      <c r="I784" t="s">
        <v>295</v>
      </c>
      <c r="J784" s="2">
        <v>24895.77</v>
      </c>
      <c r="K784" s="6">
        <v>0.8</v>
      </c>
      <c r="L784" t="s">
        <v>15</v>
      </c>
      <c r="M784" s="3">
        <f t="shared" si="25"/>
        <v>24895.77</v>
      </c>
      <c r="N784" s="9" t="str" cm="1">
        <f t="array" ref="N784">_xlfn.IFS(C784&lt;18,"Under 18",C784&lt;36,"18-35",C784&lt;51,"36-50",C784&lt;66,"51-65",C784&gt;=66,"Above 65")</f>
        <v>36-50</v>
      </c>
      <c r="O784" s="6"/>
    </row>
    <row r="785" spans="1:15" x14ac:dyDescent="0.35">
      <c r="A785" t="s">
        <v>1422</v>
      </c>
      <c r="B785" t="s">
        <v>1135</v>
      </c>
      <c r="C785">
        <v>43</v>
      </c>
      <c r="D785" t="s">
        <v>18</v>
      </c>
      <c r="E785" s="5">
        <v>45743</v>
      </c>
      <c r="F785" s="5">
        <v>45747</v>
      </c>
      <c r="G785">
        <f t="shared" si="24"/>
        <v>4</v>
      </c>
      <c r="H785" t="s">
        <v>31</v>
      </c>
      <c r="I785" t="s">
        <v>35</v>
      </c>
      <c r="J785" s="2">
        <v>2392.67</v>
      </c>
      <c r="K785" s="6">
        <v>0.6</v>
      </c>
      <c r="L785" t="s">
        <v>25</v>
      </c>
      <c r="M785" s="3">
        <f t="shared" si="25"/>
        <v>0</v>
      </c>
      <c r="N785" s="9" t="str" cm="1">
        <f t="array" ref="N785">_xlfn.IFS(C785&lt;18,"Under 18",C785&lt;36,"18-35",C785&lt;51,"36-50",C785&lt;66,"51-65",C785&gt;=66,"Above 65")</f>
        <v>36-50</v>
      </c>
      <c r="O785" s="6"/>
    </row>
    <row r="786" spans="1:15" x14ac:dyDescent="0.35">
      <c r="A786" t="s">
        <v>1423</v>
      </c>
      <c r="B786" t="s">
        <v>208</v>
      </c>
      <c r="C786">
        <v>23</v>
      </c>
      <c r="D786" t="s">
        <v>18</v>
      </c>
      <c r="E786" s="5">
        <v>45634</v>
      </c>
      <c r="F786" s="5">
        <v>45635</v>
      </c>
      <c r="G786">
        <f t="shared" si="24"/>
        <v>1</v>
      </c>
      <c r="H786" t="s">
        <v>31</v>
      </c>
      <c r="I786" t="s">
        <v>114</v>
      </c>
      <c r="J786" s="2">
        <v>1000.43</v>
      </c>
      <c r="K786" s="6">
        <v>0.9</v>
      </c>
      <c r="L786" t="s">
        <v>15</v>
      </c>
      <c r="M786" s="3">
        <f t="shared" si="25"/>
        <v>1000.43</v>
      </c>
      <c r="N786" s="9" t="str" cm="1">
        <f t="array" ref="N786">_xlfn.IFS(C786&lt;18,"Under 18",C786&lt;36,"18-35",C786&lt;51,"36-50",C786&lt;66,"51-65",C786&gt;=66,"Above 65")</f>
        <v>18-35</v>
      </c>
      <c r="O786" s="6"/>
    </row>
    <row r="787" spans="1:15" x14ac:dyDescent="0.35">
      <c r="A787" t="s">
        <v>1424</v>
      </c>
      <c r="B787" t="s">
        <v>553</v>
      </c>
      <c r="C787">
        <v>58</v>
      </c>
      <c r="D787" t="s">
        <v>12</v>
      </c>
      <c r="E787" s="5">
        <v>45709</v>
      </c>
      <c r="F787" s="5">
        <v>45713</v>
      </c>
      <c r="G787">
        <f t="shared" si="24"/>
        <v>4</v>
      </c>
      <c r="H787" t="s">
        <v>70</v>
      </c>
      <c r="I787" t="s">
        <v>237</v>
      </c>
      <c r="J787" s="2">
        <v>10299</v>
      </c>
      <c r="K787" s="6">
        <v>0.9</v>
      </c>
      <c r="L787" t="s">
        <v>15</v>
      </c>
      <c r="M787" s="3">
        <f t="shared" si="25"/>
        <v>10299</v>
      </c>
      <c r="N787" s="9" t="str" cm="1">
        <f t="array" ref="N787">_xlfn.IFS(C787&lt;18,"Under 18",C787&lt;36,"18-35",C787&lt;51,"36-50",C787&lt;66,"51-65",C787&gt;=66,"Above 65")</f>
        <v>51-65</v>
      </c>
      <c r="O787" s="6"/>
    </row>
    <row r="788" spans="1:15" x14ac:dyDescent="0.35">
      <c r="A788" t="s">
        <v>1425</v>
      </c>
      <c r="B788" t="s">
        <v>618</v>
      </c>
      <c r="C788">
        <v>58</v>
      </c>
      <c r="D788" t="s">
        <v>18</v>
      </c>
      <c r="E788" s="5">
        <v>45574</v>
      </c>
      <c r="F788" s="5">
        <v>45584</v>
      </c>
      <c r="G788">
        <f t="shared" si="24"/>
        <v>10</v>
      </c>
      <c r="H788" t="s">
        <v>70</v>
      </c>
      <c r="I788" t="s">
        <v>157</v>
      </c>
      <c r="J788" s="2">
        <v>25129.38</v>
      </c>
      <c r="K788" s="6">
        <v>0.9</v>
      </c>
      <c r="L788" t="s">
        <v>15</v>
      </c>
      <c r="M788" s="3">
        <f t="shared" si="25"/>
        <v>25129.38</v>
      </c>
      <c r="N788" s="9" t="str" cm="1">
        <f t="array" ref="N788">_xlfn.IFS(C788&lt;18,"Under 18",C788&lt;36,"18-35",C788&lt;51,"36-50",C788&lt;66,"51-65",C788&gt;=66,"Above 65")</f>
        <v>51-65</v>
      </c>
      <c r="O788" s="6"/>
    </row>
    <row r="789" spans="1:15" x14ac:dyDescent="0.35">
      <c r="A789" t="s">
        <v>1426</v>
      </c>
      <c r="B789" t="s">
        <v>1427</v>
      </c>
      <c r="C789">
        <v>9</v>
      </c>
      <c r="D789" t="s">
        <v>12</v>
      </c>
      <c r="E789" s="5">
        <v>45418</v>
      </c>
      <c r="F789" s="5">
        <v>45423</v>
      </c>
      <c r="G789">
        <f t="shared" si="24"/>
        <v>5</v>
      </c>
      <c r="H789" t="s">
        <v>49</v>
      </c>
      <c r="I789" t="s">
        <v>117</v>
      </c>
      <c r="J789" s="2">
        <v>6735.15</v>
      </c>
      <c r="K789" s="6">
        <v>1</v>
      </c>
      <c r="L789" t="s">
        <v>25</v>
      </c>
      <c r="M789" s="3">
        <f t="shared" si="25"/>
        <v>0</v>
      </c>
      <c r="N789" s="9" t="str" cm="1">
        <f t="array" ref="N789">_xlfn.IFS(C789&lt;18,"Under 18",C789&lt;36,"18-35",C789&lt;51,"36-50",C789&lt;66,"51-65",C789&gt;=66,"Above 65")</f>
        <v>Under 18</v>
      </c>
      <c r="O789" s="6"/>
    </row>
    <row r="790" spans="1:15" x14ac:dyDescent="0.35">
      <c r="A790" t="s">
        <v>1428</v>
      </c>
      <c r="B790" t="s">
        <v>835</v>
      </c>
      <c r="C790">
        <v>62</v>
      </c>
      <c r="D790" t="s">
        <v>18</v>
      </c>
      <c r="E790" s="5">
        <v>45530</v>
      </c>
      <c r="F790" s="5">
        <v>45540</v>
      </c>
      <c r="G790">
        <f t="shared" si="24"/>
        <v>10</v>
      </c>
      <c r="H790" t="s">
        <v>13</v>
      </c>
      <c r="I790" t="s">
        <v>111</v>
      </c>
      <c r="J790" s="2">
        <v>20130.14</v>
      </c>
      <c r="K790" s="6">
        <v>0.7</v>
      </c>
      <c r="L790" t="s">
        <v>15</v>
      </c>
      <c r="M790" s="3">
        <f t="shared" si="25"/>
        <v>20130.14</v>
      </c>
      <c r="N790" s="9" t="str" cm="1">
        <f t="array" ref="N790">_xlfn.IFS(C790&lt;18,"Under 18",C790&lt;36,"18-35",C790&lt;51,"36-50",C790&lt;66,"51-65",C790&gt;=66,"Above 65")</f>
        <v>51-65</v>
      </c>
      <c r="O790" s="6"/>
    </row>
    <row r="791" spans="1:15" x14ac:dyDescent="0.35">
      <c r="A791" t="s">
        <v>1429</v>
      </c>
      <c r="B791" t="s">
        <v>1430</v>
      </c>
      <c r="C791">
        <v>3</v>
      </c>
      <c r="D791" t="s">
        <v>12</v>
      </c>
      <c r="E791" s="5">
        <v>45349</v>
      </c>
      <c r="F791" s="5">
        <v>45350</v>
      </c>
      <c r="G791">
        <f t="shared" si="24"/>
        <v>1</v>
      </c>
      <c r="H791" t="s">
        <v>49</v>
      </c>
      <c r="I791" t="s">
        <v>378</v>
      </c>
      <c r="J791" s="2">
        <v>1138.69</v>
      </c>
      <c r="K791" s="6">
        <v>0.8</v>
      </c>
      <c r="L791" t="s">
        <v>15</v>
      </c>
      <c r="M791" s="3">
        <f t="shared" si="25"/>
        <v>1138.69</v>
      </c>
      <c r="N791" s="9" t="str" cm="1">
        <f t="array" ref="N791">_xlfn.IFS(C791&lt;18,"Under 18",C791&lt;36,"18-35",C791&lt;51,"36-50",C791&lt;66,"51-65",C791&gt;=66,"Above 65")</f>
        <v>Under 18</v>
      </c>
      <c r="O791" s="6"/>
    </row>
    <row r="792" spans="1:15" x14ac:dyDescent="0.35">
      <c r="A792" t="s">
        <v>1431</v>
      </c>
      <c r="B792" t="s">
        <v>566</v>
      </c>
      <c r="C792">
        <v>75</v>
      </c>
      <c r="D792" t="s">
        <v>12</v>
      </c>
      <c r="E792" s="5">
        <v>45919</v>
      </c>
      <c r="F792" s="5">
        <v>45932</v>
      </c>
      <c r="G792">
        <f t="shared" si="24"/>
        <v>13</v>
      </c>
      <c r="H792" t="s">
        <v>60</v>
      </c>
      <c r="I792" t="s">
        <v>97</v>
      </c>
      <c r="J792" s="2">
        <v>17304.05</v>
      </c>
      <c r="K792" s="6">
        <v>0.8</v>
      </c>
      <c r="L792" t="s">
        <v>15</v>
      </c>
      <c r="M792" s="3">
        <f t="shared" si="25"/>
        <v>17304.05</v>
      </c>
      <c r="N792" s="9" t="str" cm="1">
        <f t="array" ref="N792">_xlfn.IFS(C792&lt;18,"Under 18",C792&lt;36,"18-35",C792&lt;51,"36-50",C792&lt;66,"51-65",C792&gt;=66,"Above 65")</f>
        <v>Above 65</v>
      </c>
      <c r="O792" s="6"/>
    </row>
    <row r="793" spans="1:15" x14ac:dyDescent="0.35">
      <c r="A793" t="s">
        <v>1432</v>
      </c>
      <c r="B793" t="s">
        <v>1433</v>
      </c>
      <c r="C793">
        <v>66</v>
      </c>
      <c r="D793" t="s">
        <v>18</v>
      </c>
      <c r="E793" s="5">
        <v>45666</v>
      </c>
      <c r="F793" s="5">
        <v>45670</v>
      </c>
      <c r="G793">
        <f t="shared" si="24"/>
        <v>4</v>
      </c>
      <c r="H793" t="s">
        <v>31</v>
      </c>
      <c r="I793" t="s">
        <v>234</v>
      </c>
      <c r="J793" s="2">
        <v>2563.36</v>
      </c>
      <c r="K793" s="6">
        <v>0.7</v>
      </c>
      <c r="L793" t="s">
        <v>15</v>
      </c>
      <c r="M793" s="3">
        <f t="shared" si="25"/>
        <v>2563.36</v>
      </c>
      <c r="N793" s="9" t="str" cm="1">
        <f t="array" ref="N793">_xlfn.IFS(C793&lt;18,"Under 18",C793&lt;36,"18-35",C793&lt;51,"36-50",C793&lt;66,"51-65",C793&gt;=66,"Above 65")</f>
        <v>Above 65</v>
      </c>
      <c r="O793" s="6"/>
    </row>
    <row r="794" spans="1:15" x14ac:dyDescent="0.35">
      <c r="A794" t="s">
        <v>1434</v>
      </c>
      <c r="B794" t="s">
        <v>1022</v>
      </c>
      <c r="C794">
        <v>73</v>
      </c>
      <c r="D794" t="s">
        <v>18</v>
      </c>
      <c r="E794" s="5">
        <v>45886</v>
      </c>
      <c r="F794" s="5">
        <v>45892</v>
      </c>
      <c r="G794">
        <f t="shared" si="24"/>
        <v>6</v>
      </c>
      <c r="H794" t="s">
        <v>31</v>
      </c>
      <c r="I794" t="s">
        <v>32</v>
      </c>
      <c r="J794" s="2">
        <v>5938.64</v>
      </c>
      <c r="K794" s="6">
        <v>0.8</v>
      </c>
      <c r="L794" t="s">
        <v>15</v>
      </c>
      <c r="M794" s="3">
        <f t="shared" si="25"/>
        <v>5938.64</v>
      </c>
      <c r="N794" s="9" t="str" cm="1">
        <f t="array" ref="N794">_xlfn.IFS(C794&lt;18,"Under 18",C794&lt;36,"18-35",C794&lt;51,"36-50",C794&lt;66,"51-65",C794&gt;=66,"Above 65")</f>
        <v>Above 65</v>
      </c>
      <c r="O794" s="6"/>
    </row>
    <row r="795" spans="1:15" x14ac:dyDescent="0.35">
      <c r="A795" t="s">
        <v>1435</v>
      </c>
      <c r="B795" t="s">
        <v>630</v>
      </c>
      <c r="C795">
        <v>58</v>
      </c>
      <c r="D795" t="s">
        <v>12</v>
      </c>
      <c r="E795" s="5">
        <v>45763</v>
      </c>
      <c r="F795" s="5">
        <v>45766</v>
      </c>
      <c r="G795">
        <f t="shared" si="24"/>
        <v>3</v>
      </c>
      <c r="H795" t="s">
        <v>60</v>
      </c>
      <c r="I795" t="s">
        <v>74</v>
      </c>
      <c r="J795" s="2">
        <v>6946.39</v>
      </c>
      <c r="K795" s="6">
        <v>0.9</v>
      </c>
      <c r="L795" t="s">
        <v>15</v>
      </c>
      <c r="M795" s="3">
        <f t="shared" si="25"/>
        <v>6946.39</v>
      </c>
      <c r="N795" s="9" t="str" cm="1">
        <f t="array" ref="N795">_xlfn.IFS(C795&lt;18,"Under 18",C795&lt;36,"18-35",C795&lt;51,"36-50",C795&lt;66,"51-65",C795&gt;=66,"Above 65")</f>
        <v>51-65</v>
      </c>
      <c r="O795" s="6"/>
    </row>
    <row r="796" spans="1:15" x14ac:dyDescent="0.35">
      <c r="A796" t="s">
        <v>1436</v>
      </c>
      <c r="B796" t="s">
        <v>1437</v>
      </c>
      <c r="C796">
        <v>32</v>
      </c>
      <c r="D796" t="s">
        <v>18</v>
      </c>
      <c r="E796" s="5">
        <v>45812</v>
      </c>
      <c r="F796" s="5">
        <v>45823</v>
      </c>
      <c r="G796">
        <f t="shared" si="24"/>
        <v>11</v>
      </c>
      <c r="H796" t="s">
        <v>70</v>
      </c>
      <c r="I796" t="s">
        <v>194</v>
      </c>
      <c r="J796" s="2">
        <v>15560.38</v>
      </c>
      <c r="K796" s="6">
        <v>0.8</v>
      </c>
      <c r="L796" t="s">
        <v>15</v>
      </c>
      <c r="M796" s="3">
        <f t="shared" si="25"/>
        <v>15560.38</v>
      </c>
      <c r="N796" s="9" t="str" cm="1">
        <f t="array" ref="N796">_xlfn.IFS(C796&lt;18,"Under 18",C796&lt;36,"18-35",C796&lt;51,"36-50",C796&lt;66,"51-65",C796&gt;=66,"Above 65")</f>
        <v>18-35</v>
      </c>
      <c r="O796" s="6"/>
    </row>
    <row r="797" spans="1:15" x14ac:dyDescent="0.35">
      <c r="A797" t="s">
        <v>1438</v>
      </c>
      <c r="B797" t="s">
        <v>1439</v>
      </c>
      <c r="C797">
        <v>14</v>
      </c>
      <c r="D797" t="s">
        <v>12</v>
      </c>
      <c r="E797" s="5">
        <v>45746</v>
      </c>
      <c r="F797" s="5">
        <v>45750</v>
      </c>
      <c r="G797">
        <f t="shared" si="24"/>
        <v>4</v>
      </c>
      <c r="H797" t="s">
        <v>49</v>
      </c>
      <c r="I797" t="s">
        <v>117</v>
      </c>
      <c r="J797" s="2">
        <v>6667.93</v>
      </c>
      <c r="K797" s="6">
        <v>0.9</v>
      </c>
      <c r="L797" t="s">
        <v>20</v>
      </c>
      <c r="M797" s="3">
        <f t="shared" si="25"/>
        <v>0</v>
      </c>
      <c r="N797" s="9" t="str" cm="1">
        <f t="array" ref="N797">_xlfn.IFS(C797&lt;18,"Under 18",C797&lt;36,"18-35",C797&lt;51,"36-50",C797&lt;66,"51-65",C797&gt;=66,"Above 65")</f>
        <v>Under 18</v>
      </c>
      <c r="O797" s="6"/>
    </row>
    <row r="798" spans="1:15" x14ac:dyDescent="0.35">
      <c r="A798" t="s">
        <v>1440</v>
      </c>
      <c r="B798" t="s">
        <v>1312</v>
      </c>
      <c r="C798">
        <v>26</v>
      </c>
      <c r="D798" t="s">
        <v>12</v>
      </c>
      <c r="E798" s="5">
        <v>45305</v>
      </c>
      <c r="F798" s="5">
        <v>45307</v>
      </c>
      <c r="G798">
        <f t="shared" si="24"/>
        <v>2</v>
      </c>
      <c r="H798" t="s">
        <v>23</v>
      </c>
      <c r="I798" t="s">
        <v>204</v>
      </c>
      <c r="J798" s="2">
        <v>3800.12</v>
      </c>
      <c r="K798" s="6">
        <v>0.7</v>
      </c>
      <c r="L798" t="s">
        <v>15</v>
      </c>
      <c r="M798" s="3">
        <f t="shared" si="25"/>
        <v>3800.12</v>
      </c>
      <c r="N798" s="9" t="str" cm="1">
        <f t="array" ref="N798">_xlfn.IFS(C798&lt;18,"Under 18",C798&lt;36,"18-35",C798&lt;51,"36-50",C798&lt;66,"51-65",C798&gt;=66,"Above 65")</f>
        <v>18-35</v>
      </c>
      <c r="O798" s="6"/>
    </row>
    <row r="799" spans="1:15" x14ac:dyDescent="0.35">
      <c r="A799" t="s">
        <v>1441</v>
      </c>
      <c r="B799" t="s">
        <v>1442</v>
      </c>
      <c r="C799">
        <v>25</v>
      </c>
      <c r="D799" t="s">
        <v>18</v>
      </c>
      <c r="E799" s="5">
        <v>45344</v>
      </c>
      <c r="F799" s="5">
        <v>45345</v>
      </c>
      <c r="G799">
        <f t="shared" si="24"/>
        <v>1</v>
      </c>
      <c r="H799" t="s">
        <v>23</v>
      </c>
      <c r="I799" t="s">
        <v>41</v>
      </c>
      <c r="J799" s="2">
        <v>1697.82</v>
      </c>
      <c r="K799" s="6">
        <v>0.8</v>
      </c>
      <c r="L799" t="s">
        <v>15</v>
      </c>
      <c r="M799" s="3">
        <f t="shared" si="25"/>
        <v>1697.82</v>
      </c>
      <c r="N799" s="9" t="str" cm="1">
        <f t="array" ref="N799">_xlfn.IFS(C799&lt;18,"Under 18",C799&lt;36,"18-35",C799&lt;51,"36-50",C799&lt;66,"51-65",C799&gt;=66,"Above 65")</f>
        <v>18-35</v>
      </c>
      <c r="O799" s="6"/>
    </row>
    <row r="800" spans="1:15" x14ac:dyDescent="0.35">
      <c r="A800" t="s">
        <v>1443</v>
      </c>
      <c r="B800" t="s">
        <v>1232</v>
      </c>
      <c r="C800">
        <v>44</v>
      </c>
      <c r="D800" t="s">
        <v>12</v>
      </c>
      <c r="E800" s="5">
        <v>45980</v>
      </c>
      <c r="F800" s="5">
        <v>45983</v>
      </c>
      <c r="G800">
        <f t="shared" si="24"/>
        <v>3</v>
      </c>
      <c r="H800" t="s">
        <v>13</v>
      </c>
      <c r="I800" t="s">
        <v>165</v>
      </c>
      <c r="J800" s="2">
        <v>8833.89</v>
      </c>
      <c r="K800" s="6">
        <v>1</v>
      </c>
      <c r="L800" t="s">
        <v>15</v>
      </c>
      <c r="M800" s="3">
        <f t="shared" si="25"/>
        <v>8833.89</v>
      </c>
      <c r="N800" s="9" t="str" cm="1">
        <f t="array" ref="N800">_xlfn.IFS(C800&lt;18,"Under 18",C800&lt;36,"18-35",C800&lt;51,"36-50",C800&lt;66,"51-65",C800&gt;=66,"Above 65")</f>
        <v>36-50</v>
      </c>
      <c r="O800" s="6"/>
    </row>
    <row r="801" spans="1:15" x14ac:dyDescent="0.35">
      <c r="A801" t="s">
        <v>1444</v>
      </c>
      <c r="B801" t="s">
        <v>1405</v>
      </c>
      <c r="C801">
        <v>52</v>
      </c>
      <c r="D801" t="s">
        <v>12</v>
      </c>
      <c r="E801" s="5">
        <v>45809</v>
      </c>
      <c r="F801" s="5">
        <v>45810</v>
      </c>
      <c r="G801">
        <f t="shared" si="24"/>
        <v>1</v>
      </c>
      <c r="H801" t="s">
        <v>31</v>
      </c>
      <c r="I801" t="s">
        <v>35</v>
      </c>
      <c r="J801" s="2">
        <v>809.13</v>
      </c>
      <c r="K801" s="6">
        <v>0.6</v>
      </c>
      <c r="L801" t="s">
        <v>20</v>
      </c>
      <c r="M801" s="3">
        <f t="shared" si="25"/>
        <v>0</v>
      </c>
      <c r="N801" s="9" t="str" cm="1">
        <f t="array" ref="N801">_xlfn.IFS(C801&lt;18,"Under 18",C801&lt;36,"18-35",C801&lt;51,"36-50",C801&lt;66,"51-65",C801&gt;=66,"Above 65")</f>
        <v>51-65</v>
      </c>
      <c r="O801" s="6"/>
    </row>
    <row r="802" spans="1:15" x14ac:dyDescent="0.35">
      <c r="A802" t="s">
        <v>1445</v>
      </c>
      <c r="B802" t="s">
        <v>1446</v>
      </c>
      <c r="C802">
        <v>66</v>
      </c>
      <c r="D802" t="s">
        <v>12</v>
      </c>
      <c r="E802" s="5">
        <v>45335</v>
      </c>
      <c r="F802" s="5">
        <v>45337</v>
      </c>
      <c r="G802">
        <f t="shared" si="24"/>
        <v>2</v>
      </c>
      <c r="H802" t="s">
        <v>23</v>
      </c>
      <c r="I802" t="s">
        <v>333</v>
      </c>
      <c r="J802" s="2">
        <v>2529.54</v>
      </c>
      <c r="K802" s="6">
        <v>1</v>
      </c>
      <c r="L802" t="s">
        <v>20</v>
      </c>
      <c r="M802" s="3">
        <f t="shared" si="25"/>
        <v>0</v>
      </c>
      <c r="N802" s="9" t="str" cm="1">
        <f t="array" ref="N802">_xlfn.IFS(C802&lt;18,"Under 18",C802&lt;36,"18-35",C802&lt;51,"36-50",C802&lt;66,"51-65",C802&gt;=66,"Above 65")</f>
        <v>Above 65</v>
      </c>
      <c r="O802" s="6"/>
    </row>
    <row r="803" spans="1:15" x14ac:dyDescent="0.35">
      <c r="A803" t="s">
        <v>1447</v>
      </c>
      <c r="B803" t="s">
        <v>1057</v>
      </c>
      <c r="C803">
        <v>8</v>
      </c>
      <c r="D803" t="s">
        <v>18</v>
      </c>
      <c r="E803" s="5">
        <v>45939</v>
      </c>
      <c r="F803" s="5">
        <v>45942</v>
      </c>
      <c r="G803">
        <f t="shared" si="24"/>
        <v>3</v>
      </c>
      <c r="H803" t="s">
        <v>49</v>
      </c>
      <c r="I803" t="s">
        <v>50</v>
      </c>
      <c r="J803" s="2">
        <v>4739.3900000000003</v>
      </c>
      <c r="K803" s="6">
        <v>0.8</v>
      </c>
      <c r="L803" t="s">
        <v>20</v>
      </c>
      <c r="M803" s="3">
        <f t="shared" si="25"/>
        <v>0</v>
      </c>
      <c r="N803" s="9" t="str" cm="1">
        <f t="array" ref="N803">_xlfn.IFS(C803&lt;18,"Under 18",C803&lt;36,"18-35",C803&lt;51,"36-50",C803&lt;66,"51-65",C803&gt;=66,"Above 65")</f>
        <v>Under 18</v>
      </c>
      <c r="O803" s="6"/>
    </row>
    <row r="804" spans="1:15" x14ac:dyDescent="0.35">
      <c r="A804" t="s">
        <v>1448</v>
      </c>
      <c r="B804" t="s">
        <v>952</v>
      </c>
      <c r="C804">
        <v>37</v>
      </c>
      <c r="D804" t="s">
        <v>18</v>
      </c>
      <c r="E804" s="5">
        <v>45961</v>
      </c>
      <c r="F804" s="5">
        <v>45962</v>
      </c>
      <c r="G804">
        <f t="shared" si="24"/>
        <v>1</v>
      </c>
      <c r="H804" t="s">
        <v>23</v>
      </c>
      <c r="I804" t="s">
        <v>28</v>
      </c>
      <c r="J804" s="2">
        <v>1444.42</v>
      </c>
      <c r="K804" s="6">
        <v>0.8</v>
      </c>
      <c r="L804" t="s">
        <v>15</v>
      </c>
      <c r="M804" s="3">
        <f t="shared" si="25"/>
        <v>1444.42</v>
      </c>
      <c r="N804" s="9" t="str" cm="1">
        <f t="array" ref="N804">_xlfn.IFS(C804&lt;18,"Under 18",C804&lt;36,"18-35",C804&lt;51,"36-50",C804&lt;66,"51-65",C804&gt;=66,"Above 65")</f>
        <v>36-50</v>
      </c>
      <c r="O804" s="6"/>
    </row>
    <row r="805" spans="1:15" x14ac:dyDescent="0.35">
      <c r="A805" t="s">
        <v>1449</v>
      </c>
      <c r="B805" t="s">
        <v>1450</v>
      </c>
      <c r="C805">
        <v>21</v>
      </c>
      <c r="D805" t="s">
        <v>18</v>
      </c>
      <c r="E805" s="5">
        <v>45384</v>
      </c>
      <c r="F805" s="5">
        <v>45385</v>
      </c>
      <c r="G805">
        <f t="shared" si="24"/>
        <v>1</v>
      </c>
      <c r="H805" t="s">
        <v>31</v>
      </c>
      <c r="I805" t="s">
        <v>53</v>
      </c>
      <c r="J805" s="2">
        <v>646.89</v>
      </c>
      <c r="K805" s="6">
        <v>0.7</v>
      </c>
      <c r="L805" t="s">
        <v>20</v>
      </c>
      <c r="M805" s="3">
        <f t="shared" si="25"/>
        <v>0</v>
      </c>
      <c r="N805" s="9" t="str" cm="1">
        <f t="array" ref="N805">_xlfn.IFS(C805&lt;18,"Under 18",C805&lt;36,"18-35",C805&lt;51,"36-50",C805&lt;66,"51-65",C805&gt;=66,"Above 65")</f>
        <v>18-35</v>
      </c>
      <c r="O805" s="6"/>
    </row>
    <row r="806" spans="1:15" x14ac:dyDescent="0.35">
      <c r="A806" t="s">
        <v>1451</v>
      </c>
      <c r="B806" t="s">
        <v>1128</v>
      </c>
      <c r="C806">
        <v>64</v>
      </c>
      <c r="D806" t="s">
        <v>12</v>
      </c>
      <c r="E806" s="5">
        <v>45553</v>
      </c>
      <c r="F806" s="5">
        <v>45555</v>
      </c>
      <c r="G806">
        <f t="shared" si="24"/>
        <v>2</v>
      </c>
      <c r="H806" t="s">
        <v>23</v>
      </c>
      <c r="I806" t="s">
        <v>221</v>
      </c>
      <c r="J806" s="2">
        <v>4600.38</v>
      </c>
      <c r="K806" s="6">
        <v>0.7</v>
      </c>
      <c r="L806" t="s">
        <v>15</v>
      </c>
      <c r="M806" s="3">
        <f t="shared" si="25"/>
        <v>4600.38</v>
      </c>
      <c r="N806" s="9" t="str" cm="1">
        <f t="array" ref="N806">_xlfn.IFS(C806&lt;18,"Under 18",C806&lt;36,"18-35",C806&lt;51,"36-50",C806&lt;66,"51-65",C806&gt;=66,"Above 65")</f>
        <v>51-65</v>
      </c>
      <c r="O806" s="6"/>
    </row>
    <row r="807" spans="1:15" x14ac:dyDescent="0.35">
      <c r="A807" t="s">
        <v>1452</v>
      </c>
      <c r="B807" t="s">
        <v>577</v>
      </c>
      <c r="C807">
        <v>78</v>
      </c>
      <c r="D807" t="s">
        <v>18</v>
      </c>
      <c r="E807" s="5">
        <v>45495</v>
      </c>
      <c r="F807" s="5">
        <v>45498</v>
      </c>
      <c r="G807">
        <f t="shared" si="24"/>
        <v>3</v>
      </c>
      <c r="H807" t="s">
        <v>23</v>
      </c>
      <c r="I807" t="s">
        <v>28</v>
      </c>
      <c r="J807" s="2">
        <v>2479.6999999999998</v>
      </c>
      <c r="K807" s="6">
        <v>0.8</v>
      </c>
      <c r="L807" t="s">
        <v>15</v>
      </c>
      <c r="M807" s="3">
        <f t="shared" si="25"/>
        <v>2479.6999999999998</v>
      </c>
      <c r="N807" s="9" t="str" cm="1">
        <f t="array" ref="N807">_xlfn.IFS(C807&lt;18,"Under 18",C807&lt;36,"18-35",C807&lt;51,"36-50",C807&lt;66,"51-65",C807&gt;=66,"Above 65")</f>
        <v>Above 65</v>
      </c>
      <c r="O807" s="6"/>
    </row>
    <row r="808" spans="1:15" x14ac:dyDescent="0.35">
      <c r="A808" t="s">
        <v>1453</v>
      </c>
      <c r="B808" t="s">
        <v>1344</v>
      </c>
      <c r="C808">
        <v>48</v>
      </c>
      <c r="D808" t="s">
        <v>12</v>
      </c>
      <c r="E808" s="5">
        <v>45955</v>
      </c>
      <c r="F808" s="5">
        <v>45962</v>
      </c>
      <c r="G808">
        <f t="shared" si="24"/>
        <v>7</v>
      </c>
      <c r="H808" t="s">
        <v>31</v>
      </c>
      <c r="I808" t="s">
        <v>87</v>
      </c>
      <c r="J808" s="2">
        <v>10101.09</v>
      </c>
      <c r="K808" s="6">
        <v>0.8</v>
      </c>
      <c r="L808" t="s">
        <v>25</v>
      </c>
      <c r="M808" s="3">
        <f t="shared" si="25"/>
        <v>0</v>
      </c>
      <c r="N808" s="9" t="str" cm="1">
        <f t="array" ref="N808">_xlfn.IFS(C808&lt;18,"Under 18",C808&lt;36,"18-35",C808&lt;51,"36-50",C808&lt;66,"51-65",C808&gt;=66,"Above 65")</f>
        <v>36-50</v>
      </c>
      <c r="O808" s="6"/>
    </row>
    <row r="809" spans="1:15" x14ac:dyDescent="0.35">
      <c r="A809" t="s">
        <v>1454</v>
      </c>
      <c r="B809" t="s">
        <v>1455</v>
      </c>
      <c r="C809">
        <v>59</v>
      </c>
      <c r="D809" t="s">
        <v>18</v>
      </c>
      <c r="E809" s="5">
        <v>45921</v>
      </c>
      <c r="F809" s="5">
        <v>45924</v>
      </c>
      <c r="G809">
        <f t="shared" si="24"/>
        <v>3</v>
      </c>
      <c r="H809" t="s">
        <v>31</v>
      </c>
      <c r="I809" t="s">
        <v>234</v>
      </c>
      <c r="J809" s="2">
        <v>2291.15</v>
      </c>
      <c r="K809" s="6">
        <v>0.6</v>
      </c>
      <c r="L809" t="s">
        <v>15</v>
      </c>
      <c r="M809" s="3">
        <f t="shared" si="25"/>
        <v>2291.15</v>
      </c>
      <c r="N809" s="9" t="str" cm="1">
        <f t="array" ref="N809">_xlfn.IFS(C809&lt;18,"Under 18",C809&lt;36,"18-35",C809&lt;51,"36-50",C809&lt;66,"51-65",C809&gt;=66,"Above 65")</f>
        <v>51-65</v>
      </c>
      <c r="O809" s="6"/>
    </row>
    <row r="810" spans="1:15" x14ac:dyDescent="0.35">
      <c r="A810" t="s">
        <v>1456</v>
      </c>
      <c r="B810" t="s">
        <v>1457</v>
      </c>
      <c r="C810">
        <v>61</v>
      </c>
      <c r="D810" t="s">
        <v>18</v>
      </c>
      <c r="E810" s="5">
        <v>45570</v>
      </c>
      <c r="F810" s="5">
        <v>45573</v>
      </c>
      <c r="G810">
        <f t="shared" si="24"/>
        <v>3</v>
      </c>
      <c r="H810" t="s">
        <v>31</v>
      </c>
      <c r="I810" t="s">
        <v>35</v>
      </c>
      <c r="J810" s="2">
        <v>4440.5200000000004</v>
      </c>
      <c r="K810" s="6">
        <v>0</v>
      </c>
      <c r="L810" t="s">
        <v>20</v>
      </c>
      <c r="M810" s="3">
        <f t="shared" si="25"/>
        <v>0</v>
      </c>
      <c r="N810" s="9" t="str" cm="1">
        <f t="array" ref="N810">_xlfn.IFS(C810&lt;18,"Under 18",C810&lt;36,"18-35",C810&lt;51,"36-50",C810&lt;66,"51-65",C810&gt;=66,"Above 65")</f>
        <v>51-65</v>
      </c>
      <c r="O810" s="6"/>
    </row>
    <row r="811" spans="1:15" x14ac:dyDescent="0.35">
      <c r="A811" t="s">
        <v>1458</v>
      </c>
      <c r="B811" t="s">
        <v>1459</v>
      </c>
      <c r="C811">
        <v>83</v>
      </c>
      <c r="D811" t="s">
        <v>12</v>
      </c>
      <c r="E811" s="5">
        <v>45602</v>
      </c>
      <c r="F811" s="5">
        <v>45603</v>
      </c>
      <c r="G811">
        <f t="shared" si="24"/>
        <v>1</v>
      </c>
      <c r="H811" t="s">
        <v>31</v>
      </c>
      <c r="I811" t="s">
        <v>87</v>
      </c>
      <c r="J811" s="2">
        <v>923.56</v>
      </c>
      <c r="K811" s="6">
        <v>0.9</v>
      </c>
      <c r="L811" t="s">
        <v>15</v>
      </c>
      <c r="M811" s="3">
        <f t="shared" si="25"/>
        <v>923.56</v>
      </c>
      <c r="N811" s="9" t="str" cm="1">
        <f t="array" ref="N811">_xlfn.IFS(C811&lt;18,"Under 18",C811&lt;36,"18-35",C811&lt;51,"36-50",C811&lt;66,"51-65",C811&gt;=66,"Above 65")</f>
        <v>Above 65</v>
      </c>
      <c r="O811" s="6"/>
    </row>
    <row r="812" spans="1:15" x14ac:dyDescent="0.35">
      <c r="A812" t="s">
        <v>1460</v>
      </c>
      <c r="B812" t="s">
        <v>858</v>
      </c>
      <c r="C812">
        <v>62</v>
      </c>
      <c r="D812" t="s">
        <v>12</v>
      </c>
      <c r="E812" s="5">
        <v>45601</v>
      </c>
      <c r="F812" s="5">
        <v>45604</v>
      </c>
      <c r="G812">
        <f t="shared" si="24"/>
        <v>3</v>
      </c>
      <c r="H812" t="s">
        <v>13</v>
      </c>
      <c r="I812" t="s">
        <v>165</v>
      </c>
      <c r="J812" s="2">
        <v>7663.44</v>
      </c>
      <c r="K812" s="6">
        <v>0.9</v>
      </c>
      <c r="L812" t="s">
        <v>15</v>
      </c>
      <c r="M812" s="3">
        <f t="shared" si="25"/>
        <v>7663.44</v>
      </c>
      <c r="N812" s="9" t="str" cm="1">
        <f t="array" ref="N812">_xlfn.IFS(C812&lt;18,"Under 18",C812&lt;36,"18-35",C812&lt;51,"36-50",C812&lt;66,"51-65",C812&gt;=66,"Above 65")</f>
        <v>51-65</v>
      </c>
      <c r="O812" s="6"/>
    </row>
    <row r="813" spans="1:15" x14ac:dyDescent="0.35">
      <c r="A813" t="s">
        <v>1461</v>
      </c>
      <c r="B813" t="s">
        <v>330</v>
      </c>
      <c r="C813">
        <v>14</v>
      </c>
      <c r="D813" t="s">
        <v>18</v>
      </c>
      <c r="E813" s="5">
        <v>45686</v>
      </c>
      <c r="F813" s="5">
        <v>45690</v>
      </c>
      <c r="G813">
        <f t="shared" si="24"/>
        <v>4</v>
      </c>
      <c r="H813" t="s">
        <v>49</v>
      </c>
      <c r="I813" t="s">
        <v>123</v>
      </c>
      <c r="J813" s="2">
        <v>6386.92</v>
      </c>
      <c r="K813" s="6">
        <v>1</v>
      </c>
      <c r="L813" t="s">
        <v>15</v>
      </c>
      <c r="M813" s="3">
        <f t="shared" si="25"/>
        <v>6386.92</v>
      </c>
      <c r="N813" s="9" t="str" cm="1">
        <f t="array" ref="N813">_xlfn.IFS(C813&lt;18,"Under 18",C813&lt;36,"18-35",C813&lt;51,"36-50",C813&lt;66,"51-65",C813&gt;=66,"Above 65")</f>
        <v>Under 18</v>
      </c>
      <c r="O813" s="6"/>
    </row>
    <row r="814" spans="1:15" x14ac:dyDescent="0.35">
      <c r="A814" t="s">
        <v>1462</v>
      </c>
      <c r="B814" t="s">
        <v>416</v>
      </c>
      <c r="C814">
        <v>41</v>
      </c>
      <c r="D814" t="s">
        <v>18</v>
      </c>
      <c r="E814" s="5">
        <v>45344</v>
      </c>
      <c r="F814" s="5">
        <v>45346</v>
      </c>
      <c r="G814">
        <f t="shared" si="24"/>
        <v>2</v>
      </c>
      <c r="H814" t="s">
        <v>23</v>
      </c>
      <c r="I814" t="s">
        <v>221</v>
      </c>
      <c r="J814" s="2">
        <v>3243.4</v>
      </c>
      <c r="K814" s="6">
        <v>0.7</v>
      </c>
      <c r="L814" t="s">
        <v>25</v>
      </c>
      <c r="M814" s="3">
        <f t="shared" si="25"/>
        <v>0</v>
      </c>
      <c r="N814" s="9" t="str" cm="1">
        <f t="array" ref="N814">_xlfn.IFS(C814&lt;18,"Under 18",C814&lt;36,"18-35",C814&lt;51,"36-50",C814&lt;66,"51-65",C814&gt;=66,"Above 65")</f>
        <v>36-50</v>
      </c>
      <c r="O814" s="6"/>
    </row>
    <row r="815" spans="1:15" x14ac:dyDescent="0.35">
      <c r="A815" t="s">
        <v>1463</v>
      </c>
      <c r="B815" t="s">
        <v>839</v>
      </c>
      <c r="C815">
        <v>28</v>
      </c>
      <c r="D815" t="s">
        <v>12</v>
      </c>
      <c r="E815" s="5">
        <v>45523</v>
      </c>
      <c r="F815" s="5">
        <v>45525</v>
      </c>
      <c r="G815">
        <f t="shared" si="24"/>
        <v>2</v>
      </c>
      <c r="H815" t="s">
        <v>23</v>
      </c>
      <c r="I815" t="s">
        <v>333</v>
      </c>
      <c r="J815" s="2">
        <v>2328.9699999999998</v>
      </c>
      <c r="K815" s="6">
        <v>0.6</v>
      </c>
      <c r="L815" t="s">
        <v>25</v>
      </c>
      <c r="M815" s="3">
        <f t="shared" si="25"/>
        <v>0</v>
      </c>
      <c r="N815" s="9" t="str" cm="1">
        <f t="array" ref="N815">_xlfn.IFS(C815&lt;18,"Under 18",C815&lt;36,"18-35",C815&lt;51,"36-50",C815&lt;66,"51-65",C815&gt;=66,"Above 65")</f>
        <v>18-35</v>
      </c>
      <c r="O815" s="6"/>
    </row>
    <row r="816" spans="1:15" x14ac:dyDescent="0.35">
      <c r="A816" t="s">
        <v>1464</v>
      </c>
      <c r="B816" t="s">
        <v>1022</v>
      </c>
      <c r="C816">
        <v>76</v>
      </c>
      <c r="D816" t="s">
        <v>18</v>
      </c>
      <c r="E816" s="5">
        <v>45388</v>
      </c>
      <c r="F816" s="5">
        <v>45393</v>
      </c>
      <c r="G816">
        <f t="shared" si="24"/>
        <v>5</v>
      </c>
      <c r="H816" t="s">
        <v>13</v>
      </c>
      <c r="I816" t="s">
        <v>111</v>
      </c>
      <c r="J816" s="2">
        <v>11411.19</v>
      </c>
      <c r="K816" s="6">
        <v>0.7</v>
      </c>
      <c r="L816" t="s">
        <v>15</v>
      </c>
      <c r="M816" s="3">
        <f t="shared" si="25"/>
        <v>11411.19</v>
      </c>
      <c r="N816" s="9" t="str" cm="1">
        <f t="array" ref="N816">_xlfn.IFS(C816&lt;18,"Under 18",C816&lt;36,"18-35",C816&lt;51,"36-50",C816&lt;66,"51-65",C816&gt;=66,"Above 65")</f>
        <v>Above 65</v>
      </c>
      <c r="O816" s="6"/>
    </row>
    <row r="817" spans="1:15" x14ac:dyDescent="0.35">
      <c r="A817" t="s">
        <v>1465</v>
      </c>
      <c r="B817" t="s">
        <v>1466</v>
      </c>
      <c r="C817">
        <v>80</v>
      </c>
      <c r="D817" t="s">
        <v>18</v>
      </c>
      <c r="E817" s="5">
        <v>45449</v>
      </c>
      <c r="F817" s="5">
        <v>45457</v>
      </c>
      <c r="G817">
        <f t="shared" si="24"/>
        <v>8</v>
      </c>
      <c r="H817" t="s">
        <v>70</v>
      </c>
      <c r="I817" t="s">
        <v>94</v>
      </c>
      <c r="J817" s="2">
        <v>18741.169999999998</v>
      </c>
      <c r="K817" s="6">
        <v>0.7</v>
      </c>
      <c r="L817" t="s">
        <v>15</v>
      </c>
      <c r="M817" s="3">
        <f t="shared" si="25"/>
        <v>18741.169999999998</v>
      </c>
      <c r="N817" s="9" t="str" cm="1">
        <f t="array" ref="N817">_xlfn.IFS(C817&lt;18,"Under 18",C817&lt;36,"18-35",C817&lt;51,"36-50",C817&lt;66,"51-65",C817&gt;=66,"Above 65")</f>
        <v>Above 65</v>
      </c>
      <c r="O817" s="6"/>
    </row>
    <row r="818" spans="1:15" x14ac:dyDescent="0.35">
      <c r="A818" t="s">
        <v>1467</v>
      </c>
      <c r="B818" t="s">
        <v>1357</v>
      </c>
      <c r="C818">
        <v>53</v>
      </c>
      <c r="D818" t="s">
        <v>18</v>
      </c>
      <c r="E818" s="5">
        <v>45541</v>
      </c>
      <c r="F818" s="5">
        <v>45543</v>
      </c>
      <c r="G818">
        <f t="shared" si="24"/>
        <v>2</v>
      </c>
      <c r="H818" t="s">
        <v>23</v>
      </c>
      <c r="I818" t="s">
        <v>28</v>
      </c>
      <c r="J818" s="2">
        <v>3602.24</v>
      </c>
      <c r="K818" s="6">
        <v>0.7</v>
      </c>
      <c r="L818" t="s">
        <v>15</v>
      </c>
      <c r="M818" s="3">
        <f t="shared" si="25"/>
        <v>3602.24</v>
      </c>
      <c r="N818" s="9" t="str" cm="1">
        <f t="array" ref="N818">_xlfn.IFS(C818&lt;18,"Under 18",C818&lt;36,"18-35",C818&lt;51,"36-50",C818&lt;66,"51-65",C818&gt;=66,"Above 65")</f>
        <v>51-65</v>
      </c>
      <c r="O818" s="6"/>
    </row>
    <row r="819" spans="1:15" x14ac:dyDescent="0.35">
      <c r="A819" t="s">
        <v>1468</v>
      </c>
      <c r="B819" t="s">
        <v>1469</v>
      </c>
      <c r="C819">
        <v>50</v>
      </c>
      <c r="D819" t="s">
        <v>18</v>
      </c>
      <c r="E819" s="5">
        <v>45609</v>
      </c>
      <c r="F819" s="5">
        <v>45611</v>
      </c>
      <c r="G819">
        <f t="shared" si="24"/>
        <v>2</v>
      </c>
      <c r="H819" t="s">
        <v>60</v>
      </c>
      <c r="I819" t="s">
        <v>74</v>
      </c>
      <c r="J819" s="2">
        <v>3967.17</v>
      </c>
      <c r="K819" s="6">
        <v>0.9</v>
      </c>
      <c r="L819" t="s">
        <v>15</v>
      </c>
      <c r="M819" s="3">
        <f t="shared" si="25"/>
        <v>3967.17</v>
      </c>
      <c r="N819" s="9" t="str" cm="1">
        <f t="array" ref="N819">_xlfn.IFS(C819&lt;18,"Under 18",C819&lt;36,"18-35",C819&lt;51,"36-50",C819&lt;66,"51-65",C819&gt;=66,"Above 65")</f>
        <v>36-50</v>
      </c>
      <c r="O819" s="6"/>
    </row>
    <row r="820" spans="1:15" x14ac:dyDescent="0.35">
      <c r="A820" t="s">
        <v>1470</v>
      </c>
      <c r="B820" t="s">
        <v>1471</v>
      </c>
      <c r="C820">
        <v>30</v>
      </c>
      <c r="D820" t="s">
        <v>18</v>
      </c>
      <c r="E820" s="5">
        <v>45602</v>
      </c>
      <c r="F820" s="5">
        <v>45606</v>
      </c>
      <c r="G820">
        <f t="shared" si="24"/>
        <v>4</v>
      </c>
      <c r="H820" t="s">
        <v>60</v>
      </c>
      <c r="I820" t="s">
        <v>97</v>
      </c>
      <c r="J820" s="2">
        <v>5430.38</v>
      </c>
      <c r="K820" s="6">
        <v>0.8</v>
      </c>
      <c r="L820" t="s">
        <v>15</v>
      </c>
      <c r="M820" s="3">
        <f t="shared" si="25"/>
        <v>5430.38</v>
      </c>
      <c r="N820" s="9" t="str" cm="1">
        <f t="array" ref="N820">_xlfn.IFS(C820&lt;18,"Under 18",C820&lt;36,"18-35",C820&lt;51,"36-50",C820&lt;66,"51-65",C820&gt;=66,"Above 65")</f>
        <v>18-35</v>
      </c>
      <c r="O820" s="6"/>
    </row>
    <row r="821" spans="1:15" x14ac:dyDescent="0.35">
      <c r="A821" t="s">
        <v>1472</v>
      </c>
      <c r="B821" t="s">
        <v>856</v>
      </c>
      <c r="C821">
        <v>49</v>
      </c>
      <c r="D821" t="s">
        <v>18</v>
      </c>
      <c r="E821" s="5">
        <v>45588</v>
      </c>
      <c r="F821" s="5">
        <v>45594</v>
      </c>
      <c r="G821">
        <f t="shared" si="24"/>
        <v>6</v>
      </c>
      <c r="H821" t="s">
        <v>31</v>
      </c>
      <c r="I821" t="s">
        <v>35</v>
      </c>
      <c r="J821" s="2">
        <v>3153.91</v>
      </c>
      <c r="K821" s="6">
        <v>0.9</v>
      </c>
      <c r="L821" t="s">
        <v>15</v>
      </c>
      <c r="M821" s="3">
        <f t="shared" si="25"/>
        <v>3153.91</v>
      </c>
      <c r="N821" s="9" t="str" cm="1">
        <f t="array" ref="N821">_xlfn.IFS(C821&lt;18,"Under 18",C821&lt;36,"18-35",C821&lt;51,"36-50",C821&lt;66,"51-65",C821&gt;=66,"Above 65")</f>
        <v>36-50</v>
      </c>
      <c r="O821" s="6"/>
    </row>
    <row r="822" spans="1:15" x14ac:dyDescent="0.35">
      <c r="A822" t="s">
        <v>1473</v>
      </c>
      <c r="B822" t="s">
        <v>1474</v>
      </c>
      <c r="C822">
        <v>32</v>
      </c>
      <c r="D822" t="s">
        <v>18</v>
      </c>
      <c r="E822" s="5">
        <v>45547</v>
      </c>
      <c r="F822" s="5">
        <v>45553</v>
      </c>
      <c r="G822">
        <f t="shared" si="24"/>
        <v>6</v>
      </c>
      <c r="H822" t="s">
        <v>31</v>
      </c>
      <c r="I822" t="s">
        <v>234</v>
      </c>
      <c r="J822" s="2">
        <v>4214.28</v>
      </c>
      <c r="K822" s="6">
        <v>0.8</v>
      </c>
      <c r="L822" t="s">
        <v>15</v>
      </c>
      <c r="M822" s="3">
        <f t="shared" si="25"/>
        <v>4214.28</v>
      </c>
      <c r="N822" s="9" t="str" cm="1">
        <f t="array" ref="N822">_xlfn.IFS(C822&lt;18,"Under 18",C822&lt;36,"18-35",C822&lt;51,"36-50",C822&lt;66,"51-65",C822&gt;=66,"Above 65")</f>
        <v>18-35</v>
      </c>
      <c r="O822" s="6"/>
    </row>
    <row r="823" spans="1:15" x14ac:dyDescent="0.35">
      <c r="A823" t="s">
        <v>1475</v>
      </c>
      <c r="B823" t="s">
        <v>820</v>
      </c>
      <c r="C823">
        <v>70</v>
      </c>
      <c r="D823" t="s">
        <v>12</v>
      </c>
      <c r="E823" s="5">
        <v>45947</v>
      </c>
      <c r="F823" s="5">
        <v>45950</v>
      </c>
      <c r="G823">
        <f t="shared" si="24"/>
        <v>3</v>
      </c>
      <c r="H823" t="s">
        <v>70</v>
      </c>
      <c r="I823" t="s">
        <v>194</v>
      </c>
      <c r="J823" s="2">
        <v>5898.39</v>
      </c>
      <c r="K823" s="6">
        <v>0.6</v>
      </c>
      <c r="L823" t="s">
        <v>20</v>
      </c>
      <c r="M823" s="3">
        <f t="shared" si="25"/>
        <v>0</v>
      </c>
      <c r="N823" s="9" t="str" cm="1">
        <f t="array" ref="N823">_xlfn.IFS(C823&lt;18,"Under 18",C823&lt;36,"18-35",C823&lt;51,"36-50",C823&lt;66,"51-65",C823&gt;=66,"Above 65")</f>
        <v>Above 65</v>
      </c>
      <c r="O823" s="6"/>
    </row>
    <row r="824" spans="1:15" x14ac:dyDescent="0.35">
      <c r="A824" t="s">
        <v>1476</v>
      </c>
      <c r="B824" t="s">
        <v>40</v>
      </c>
      <c r="C824">
        <v>35</v>
      </c>
      <c r="D824" t="s">
        <v>18</v>
      </c>
      <c r="E824" s="5">
        <v>45974</v>
      </c>
      <c r="F824" s="5">
        <v>45988</v>
      </c>
      <c r="G824">
        <f t="shared" si="24"/>
        <v>14</v>
      </c>
      <c r="H824" t="s">
        <v>60</v>
      </c>
      <c r="I824" t="s">
        <v>142</v>
      </c>
      <c r="J824" s="2">
        <v>32045.67</v>
      </c>
      <c r="K824" s="6">
        <v>0.8</v>
      </c>
      <c r="L824" t="s">
        <v>15</v>
      </c>
      <c r="M824" s="3">
        <f t="shared" si="25"/>
        <v>32045.67</v>
      </c>
      <c r="N824" s="9" t="str" cm="1">
        <f t="array" ref="N824">_xlfn.IFS(C824&lt;18,"Under 18",C824&lt;36,"18-35",C824&lt;51,"36-50",C824&lt;66,"51-65",C824&gt;=66,"Above 65")</f>
        <v>18-35</v>
      </c>
      <c r="O824" s="6"/>
    </row>
    <row r="825" spans="1:15" x14ac:dyDescent="0.35">
      <c r="A825" t="s">
        <v>1477</v>
      </c>
      <c r="B825" t="s">
        <v>1216</v>
      </c>
      <c r="C825">
        <v>77</v>
      </c>
      <c r="D825" t="s">
        <v>12</v>
      </c>
      <c r="E825" s="5">
        <v>45383</v>
      </c>
      <c r="F825" s="5">
        <v>45388</v>
      </c>
      <c r="G825">
        <f t="shared" si="24"/>
        <v>5</v>
      </c>
      <c r="H825" t="s">
        <v>70</v>
      </c>
      <c r="I825" t="s">
        <v>237</v>
      </c>
      <c r="J825" s="2">
        <v>11916.1</v>
      </c>
      <c r="K825" s="6">
        <v>0.9</v>
      </c>
      <c r="L825" t="s">
        <v>15</v>
      </c>
      <c r="M825" s="3">
        <f t="shared" si="25"/>
        <v>11916.1</v>
      </c>
      <c r="N825" s="9" t="str" cm="1">
        <f t="array" ref="N825">_xlfn.IFS(C825&lt;18,"Under 18",C825&lt;36,"18-35",C825&lt;51,"36-50",C825&lt;66,"51-65",C825&gt;=66,"Above 65")</f>
        <v>Above 65</v>
      </c>
      <c r="O825" s="6"/>
    </row>
    <row r="826" spans="1:15" x14ac:dyDescent="0.35">
      <c r="A826" t="s">
        <v>1478</v>
      </c>
      <c r="B826" t="s">
        <v>1018</v>
      </c>
      <c r="C826">
        <v>26</v>
      </c>
      <c r="D826" t="s">
        <v>18</v>
      </c>
      <c r="E826" s="5">
        <v>45611</v>
      </c>
      <c r="F826" s="5">
        <v>45618</v>
      </c>
      <c r="G826">
        <f t="shared" si="24"/>
        <v>7</v>
      </c>
      <c r="H826" t="s">
        <v>31</v>
      </c>
      <c r="I826" t="s">
        <v>114</v>
      </c>
      <c r="J826" s="2">
        <v>5499.8</v>
      </c>
      <c r="K826" s="6">
        <v>0.8</v>
      </c>
      <c r="L826" t="s">
        <v>20</v>
      </c>
      <c r="M826" s="3">
        <f t="shared" si="25"/>
        <v>0</v>
      </c>
      <c r="N826" s="9" t="str" cm="1">
        <f t="array" ref="N826">_xlfn.IFS(C826&lt;18,"Under 18",C826&lt;36,"18-35",C826&lt;51,"36-50",C826&lt;66,"51-65",C826&gt;=66,"Above 65")</f>
        <v>18-35</v>
      </c>
      <c r="O826" s="6"/>
    </row>
    <row r="827" spans="1:15" x14ac:dyDescent="0.35">
      <c r="A827" t="s">
        <v>1479</v>
      </c>
      <c r="B827" t="s">
        <v>922</v>
      </c>
      <c r="C827">
        <v>32</v>
      </c>
      <c r="D827" t="s">
        <v>12</v>
      </c>
      <c r="E827" s="5">
        <v>45973</v>
      </c>
      <c r="F827" s="5">
        <v>45978</v>
      </c>
      <c r="G827">
        <f t="shared" si="24"/>
        <v>5</v>
      </c>
      <c r="H827" t="s">
        <v>70</v>
      </c>
      <c r="I827" t="s">
        <v>94</v>
      </c>
      <c r="J827" s="2">
        <v>8755.16</v>
      </c>
      <c r="K827" s="6">
        <v>0.5</v>
      </c>
      <c r="L827" t="s">
        <v>15</v>
      </c>
      <c r="M827" s="3">
        <f t="shared" si="25"/>
        <v>8755.16</v>
      </c>
      <c r="N827" s="9" t="str" cm="1">
        <f t="array" ref="N827">_xlfn.IFS(C827&lt;18,"Under 18",C827&lt;36,"18-35",C827&lt;51,"36-50",C827&lt;66,"51-65",C827&gt;=66,"Above 65")</f>
        <v>18-35</v>
      </c>
      <c r="O827" s="6"/>
    </row>
    <row r="828" spans="1:15" x14ac:dyDescent="0.35">
      <c r="A828" t="s">
        <v>1480</v>
      </c>
      <c r="B828" t="s">
        <v>1481</v>
      </c>
      <c r="C828">
        <v>35</v>
      </c>
      <c r="D828" t="s">
        <v>12</v>
      </c>
      <c r="E828" s="5">
        <v>45664</v>
      </c>
      <c r="F828" s="5">
        <v>45669</v>
      </c>
      <c r="G828">
        <f t="shared" si="24"/>
        <v>5</v>
      </c>
      <c r="H828" t="s">
        <v>31</v>
      </c>
      <c r="I828" t="s">
        <v>114</v>
      </c>
      <c r="J828" s="2">
        <v>3252.83</v>
      </c>
      <c r="K828" s="6">
        <v>0.7</v>
      </c>
      <c r="L828" t="s">
        <v>25</v>
      </c>
      <c r="M828" s="3">
        <f t="shared" si="25"/>
        <v>0</v>
      </c>
      <c r="N828" s="9" t="str" cm="1">
        <f t="array" ref="N828">_xlfn.IFS(C828&lt;18,"Under 18",C828&lt;36,"18-35",C828&lt;51,"36-50",C828&lt;66,"51-65",C828&gt;=66,"Above 65")</f>
        <v>18-35</v>
      </c>
      <c r="O828" s="6"/>
    </row>
    <row r="829" spans="1:15" x14ac:dyDescent="0.35">
      <c r="A829" t="s">
        <v>1482</v>
      </c>
      <c r="B829" t="s">
        <v>488</v>
      </c>
      <c r="C829">
        <v>52</v>
      </c>
      <c r="D829" t="s">
        <v>18</v>
      </c>
      <c r="E829" s="5">
        <v>45938</v>
      </c>
      <c r="F829" s="5">
        <v>45943</v>
      </c>
      <c r="G829">
        <f t="shared" si="24"/>
        <v>5</v>
      </c>
      <c r="H829" t="s">
        <v>60</v>
      </c>
      <c r="I829" t="s">
        <v>77</v>
      </c>
      <c r="J829" s="2">
        <v>12778.56</v>
      </c>
      <c r="K829" s="6">
        <v>0.8</v>
      </c>
      <c r="L829" t="s">
        <v>20</v>
      </c>
      <c r="M829" s="3">
        <f t="shared" si="25"/>
        <v>0</v>
      </c>
      <c r="N829" s="9" t="str" cm="1">
        <f t="array" ref="N829">_xlfn.IFS(C829&lt;18,"Under 18",C829&lt;36,"18-35",C829&lt;51,"36-50",C829&lt;66,"51-65",C829&gt;=66,"Above 65")</f>
        <v>51-65</v>
      </c>
      <c r="O829" s="6"/>
    </row>
    <row r="830" spans="1:15" x14ac:dyDescent="0.35">
      <c r="A830" t="s">
        <v>1483</v>
      </c>
      <c r="B830" t="s">
        <v>256</v>
      </c>
      <c r="C830">
        <v>73</v>
      </c>
      <c r="D830" t="s">
        <v>12</v>
      </c>
      <c r="E830" s="5">
        <v>45973</v>
      </c>
      <c r="F830" s="5">
        <v>45985</v>
      </c>
      <c r="G830">
        <f t="shared" si="24"/>
        <v>12</v>
      </c>
      <c r="H830" t="s">
        <v>60</v>
      </c>
      <c r="I830" t="s">
        <v>74</v>
      </c>
      <c r="J830" s="2">
        <v>27830.62</v>
      </c>
      <c r="K830" s="6">
        <v>0.6</v>
      </c>
      <c r="L830" t="s">
        <v>20</v>
      </c>
      <c r="M830" s="3">
        <f t="shared" si="25"/>
        <v>0</v>
      </c>
      <c r="N830" s="9" t="str" cm="1">
        <f t="array" ref="N830">_xlfn.IFS(C830&lt;18,"Under 18",C830&lt;36,"18-35",C830&lt;51,"36-50",C830&lt;66,"51-65",C830&gt;=66,"Above 65")</f>
        <v>Above 65</v>
      </c>
      <c r="O830" s="6"/>
    </row>
    <row r="831" spans="1:15" x14ac:dyDescent="0.35">
      <c r="A831" t="s">
        <v>1484</v>
      </c>
      <c r="B831" t="s">
        <v>525</v>
      </c>
      <c r="C831">
        <v>5</v>
      </c>
      <c r="D831" t="s">
        <v>12</v>
      </c>
      <c r="E831" s="5">
        <v>45860</v>
      </c>
      <c r="F831" s="5">
        <v>45864</v>
      </c>
      <c r="G831">
        <f t="shared" si="24"/>
        <v>4</v>
      </c>
      <c r="H831" t="s">
        <v>49</v>
      </c>
      <c r="I831" t="s">
        <v>378</v>
      </c>
      <c r="J831" s="2">
        <v>4474.62</v>
      </c>
      <c r="K831" s="6">
        <v>1</v>
      </c>
      <c r="L831" t="s">
        <v>20</v>
      </c>
      <c r="M831" s="3">
        <f t="shared" si="25"/>
        <v>0</v>
      </c>
      <c r="N831" s="9" t="str" cm="1">
        <f t="array" ref="N831">_xlfn.IFS(C831&lt;18,"Under 18",C831&lt;36,"18-35",C831&lt;51,"36-50",C831&lt;66,"51-65",C831&gt;=66,"Above 65")</f>
        <v>Under 18</v>
      </c>
      <c r="O831" s="6"/>
    </row>
    <row r="832" spans="1:15" x14ac:dyDescent="0.35">
      <c r="A832" t="s">
        <v>1485</v>
      </c>
      <c r="B832" t="s">
        <v>1486</v>
      </c>
      <c r="C832">
        <v>13</v>
      </c>
      <c r="D832" t="s">
        <v>12</v>
      </c>
      <c r="E832" s="5">
        <v>45658</v>
      </c>
      <c r="F832" s="5">
        <v>45662</v>
      </c>
      <c r="G832">
        <f t="shared" si="24"/>
        <v>4</v>
      </c>
      <c r="H832" t="s">
        <v>49</v>
      </c>
      <c r="I832" t="s">
        <v>378</v>
      </c>
      <c r="J832" s="2">
        <v>3553.09</v>
      </c>
      <c r="K832" s="6">
        <v>0.6</v>
      </c>
      <c r="L832" t="s">
        <v>20</v>
      </c>
      <c r="M832" s="3">
        <f t="shared" si="25"/>
        <v>0</v>
      </c>
      <c r="N832" s="9" t="str" cm="1">
        <f t="array" ref="N832">_xlfn.IFS(C832&lt;18,"Under 18",C832&lt;36,"18-35",C832&lt;51,"36-50",C832&lt;66,"51-65",C832&gt;=66,"Above 65")</f>
        <v>Under 18</v>
      </c>
      <c r="O832" s="6"/>
    </row>
    <row r="833" spans="1:15" x14ac:dyDescent="0.35">
      <c r="A833" t="s">
        <v>1487</v>
      </c>
      <c r="B833" t="s">
        <v>1488</v>
      </c>
      <c r="C833">
        <v>16</v>
      </c>
      <c r="D833" t="s">
        <v>12</v>
      </c>
      <c r="E833" s="5">
        <v>45952</v>
      </c>
      <c r="F833" s="5">
        <v>45954</v>
      </c>
      <c r="G833">
        <f t="shared" si="24"/>
        <v>2</v>
      </c>
      <c r="H833" t="s">
        <v>49</v>
      </c>
      <c r="I833" t="s">
        <v>117</v>
      </c>
      <c r="J833" s="2">
        <v>2767.65</v>
      </c>
      <c r="K833" s="6">
        <v>0.7</v>
      </c>
      <c r="L833" t="s">
        <v>15</v>
      </c>
      <c r="M833" s="3">
        <f t="shared" si="25"/>
        <v>2767.65</v>
      </c>
      <c r="N833" s="9" t="str" cm="1">
        <f t="array" ref="N833">_xlfn.IFS(C833&lt;18,"Under 18",C833&lt;36,"18-35",C833&lt;51,"36-50",C833&lt;66,"51-65",C833&gt;=66,"Above 65")</f>
        <v>Under 18</v>
      </c>
      <c r="O833" s="6"/>
    </row>
    <row r="834" spans="1:15" x14ac:dyDescent="0.35">
      <c r="A834" t="s">
        <v>1489</v>
      </c>
      <c r="B834" t="s">
        <v>672</v>
      </c>
      <c r="C834">
        <v>14</v>
      </c>
      <c r="D834" t="s">
        <v>12</v>
      </c>
      <c r="E834" s="5">
        <v>45452</v>
      </c>
      <c r="F834" s="5">
        <v>45454</v>
      </c>
      <c r="G834">
        <f t="shared" si="24"/>
        <v>2</v>
      </c>
      <c r="H834" t="s">
        <v>49</v>
      </c>
      <c r="I834" t="s">
        <v>50</v>
      </c>
      <c r="J834" s="2">
        <v>2721.43</v>
      </c>
      <c r="K834" s="6">
        <v>0.8</v>
      </c>
      <c r="L834" t="s">
        <v>15</v>
      </c>
      <c r="M834" s="3">
        <f t="shared" si="25"/>
        <v>2721.43</v>
      </c>
      <c r="N834" s="9" t="str" cm="1">
        <f t="array" ref="N834">_xlfn.IFS(C834&lt;18,"Under 18",C834&lt;36,"18-35",C834&lt;51,"36-50",C834&lt;66,"51-65",C834&gt;=66,"Above 65")</f>
        <v>Under 18</v>
      </c>
      <c r="O834" s="6"/>
    </row>
    <row r="835" spans="1:15" x14ac:dyDescent="0.35">
      <c r="A835" t="s">
        <v>1490</v>
      </c>
      <c r="B835" t="s">
        <v>1491</v>
      </c>
      <c r="C835">
        <v>21</v>
      </c>
      <c r="D835" t="s">
        <v>18</v>
      </c>
      <c r="E835" s="5">
        <v>45573</v>
      </c>
      <c r="F835" s="5">
        <v>45576</v>
      </c>
      <c r="G835">
        <f t="shared" ref="G835:G898" si="26">DATEDIF(E835,F835,"D")</f>
        <v>3</v>
      </c>
      <c r="H835" t="s">
        <v>23</v>
      </c>
      <c r="I835" t="s">
        <v>204</v>
      </c>
      <c r="J835" s="2">
        <v>2887.15</v>
      </c>
      <c r="K835" s="6">
        <v>0.9</v>
      </c>
      <c r="L835" t="s">
        <v>25</v>
      </c>
      <c r="M835" s="3">
        <f t="shared" ref="M835:M898" si="27">IF(L835 = "Paid",J835,0)</f>
        <v>0</v>
      </c>
      <c r="N835" s="9" t="str" cm="1">
        <f t="array" ref="N835">_xlfn.IFS(C835&lt;18,"Under 18",C835&lt;36,"18-35",C835&lt;51,"36-50",C835&lt;66,"51-65",C835&gt;=66,"Above 65")</f>
        <v>18-35</v>
      </c>
      <c r="O835" s="6"/>
    </row>
    <row r="836" spans="1:15" x14ac:dyDescent="0.35">
      <c r="A836" t="s">
        <v>1492</v>
      </c>
      <c r="B836" t="s">
        <v>1493</v>
      </c>
      <c r="C836">
        <v>29</v>
      </c>
      <c r="D836" t="s">
        <v>12</v>
      </c>
      <c r="E836" s="5">
        <v>45552</v>
      </c>
      <c r="F836" s="5">
        <v>45555</v>
      </c>
      <c r="G836">
        <f t="shared" si="26"/>
        <v>3</v>
      </c>
      <c r="H836" t="s">
        <v>23</v>
      </c>
      <c r="I836" t="s">
        <v>24</v>
      </c>
      <c r="J836" s="2">
        <v>7071.48</v>
      </c>
      <c r="K836" s="6">
        <v>0.8</v>
      </c>
      <c r="L836" t="s">
        <v>15</v>
      </c>
      <c r="M836" s="3">
        <f t="shared" si="27"/>
        <v>7071.48</v>
      </c>
      <c r="N836" s="9" t="str" cm="1">
        <f t="array" ref="N836">_xlfn.IFS(C836&lt;18,"Under 18",C836&lt;36,"18-35",C836&lt;51,"36-50",C836&lt;66,"51-65",C836&gt;=66,"Above 65")</f>
        <v>18-35</v>
      </c>
      <c r="O836" s="6"/>
    </row>
    <row r="837" spans="1:15" x14ac:dyDescent="0.35">
      <c r="A837" t="s">
        <v>1494</v>
      </c>
      <c r="B837" t="s">
        <v>1495</v>
      </c>
      <c r="C837">
        <v>72</v>
      </c>
      <c r="D837" t="s">
        <v>18</v>
      </c>
      <c r="E837" s="5">
        <v>45300</v>
      </c>
      <c r="F837" s="5">
        <v>45304</v>
      </c>
      <c r="G837">
        <f t="shared" si="26"/>
        <v>4</v>
      </c>
      <c r="H837" t="s">
        <v>13</v>
      </c>
      <c r="I837" t="s">
        <v>165</v>
      </c>
      <c r="J837" s="2">
        <v>8289.81</v>
      </c>
      <c r="K837" s="6">
        <v>0.8</v>
      </c>
      <c r="L837" t="s">
        <v>15</v>
      </c>
      <c r="M837" s="3">
        <f t="shared" si="27"/>
        <v>8289.81</v>
      </c>
      <c r="N837" s="9" t="str" cm="1">
        <f t="array" ref="N837">_xlfn.IFS(C837&lt;18,"Under 18",C837&lt;36,"18-35",C837&lt;51,"36-50",C837&lt;66,"51-65",C837&gt;=66,"Above 65")</f>
        <v>Above 65</v>
      </c>
      <c r="O837" s="6"/>
    </row>
    <row r="838" spans="1:15" x14ac:dyDescent="0.35">
      <c r="A838" t="s">
        <v>1496</v>
      </c>
      <c r="B838" t="s">
        <v>527</v>
      </c>
      <c r="C838">
        <v>20</v>
      </c>
      <c r="D838" t="s">
        <v>18</v>
      </c>
      <c r="E838" s="5">
        <v>45844</v>
      </c>
      <c r="F838" s="5">
        <v>45847</v>
      </c>
      <c r="G838">
        <f t="shared" si="26"/>
        <v>3</v>
      </c>
      <c r="H838" t="s">
        <v>31</v>
      </c>
      <c r="I838" t="s">
        <v>114</v>
      </c>
      <c r="J838" s="2">
        <v>1605.53</v>
      </c>
      <c r="K838" s="6">
        <v>0.8</v>
      </c>
      <c r="L838" t="s">
        <v>15</v>
      </c>
      <c r="M838" s="3">
        <f t="shared" si="27"/>
        <v>1605.53</v>
      </c>
      <c r="N838" s="9" t="str" cm="1">
        <f t="array" ref="N838">_xlfn.IFS(C838&lt;18,"Under 18",C838&lt;36,"18-35",C838&lt;51,"36-50",C838&lt;66,"51-65",C838&gt;=66,"Above 65")</f>
        <v>18-35</v>
      </c>
      <c r="O838" s="6"/>
    </row>
    <row r="839" spans="1:15" x14ac:dyDescent="0.35">
      <c r="A839" t="s">
        <v>1497</v>
      </c>
      <c r="B839" t="s">
        <v>86</v>
      </c>
      <c r="C839">
        <v>26</v>
      </c>
      <c r="D839" t="s">
        <v>18</v>
      </c>
      <c r="E839" s="5">
        <v>45672</v>
      </c>
      <c r="F839" s="5">
        <v>45675</v>
      </c>
      <c r="G839">
        <f t="shared" si="26"/>
        <v>3</v>
      </c>
      <c r="H839" t="s">
        <v>31</v>
      </c>
      <c r="I839" t="s">
        <v>114</v>
      </c>
      <c r="J839" s="2">
        <v>3803.99</v>
      </c>
      <c r="K839" s="6">
        <v>0.5</v>
      </c>
      <c r="L839" t="s">
        <v>25</v>
      </c>
      <c r="M839" s="3">
        <f t="shared" si="27"/>
        <v>0</v>
      </c>
      <c r="N839" s="9" t="str" cm="1">
        <f t="array" ref="N839">_xlfn.IFS(C839&lt;18,"Under 18",C839&lt;36,"18-35",C839&lt;51,"36-50",C839&lt;66,"51-65",C839&gt;=66,"Above 65")</f>
        <v>18-35</v>
      </c>
      <c r="O839" s="6"/>
    </row>
    <row r="840" spans="1:15" x14ac:dyDescent="0.35">
      <c r="A840" t="s">
        <v>1498</v>
      </c>
      <c r="B840" t="s">
        <v>1499</v>
      </c>
      <c r="C840">
        <v>41</v>
      </c>
      <c r="D840" t="s">
        <v>18</v>
      </c>
      <c r="E840" s="5">
        <v>45913</v>
      </c>
      <c r="F840" s="5">
        <v>45919</v>
      </c>
      <c r="G840">
        <f t="shared" si="26"/>
        <v>6</v>
      </c>
      <c r="H840" t="s">
        <v>60</v>
      </c>
      <c r="I840" t="s">
        <v>142</v>
      </c>
      <c r="J840" s="2">
        <v>11654.43</v>
      </c>
      <c r="K840" s="6">
        <v>0</v>
      </c>
      <c r="L840" t="s">
        <v>25</v>
      </c>
      <c r="M840" s="3">
        <f t="shared" si="27"/>
        <v>0</v>
      </c>
      <c r="N840" s="9" t="str" cm="1">
        <f t="array" ref="N840">_xlfn.IFS(C840&lt;18,"Under 18",C840&lt;36,"18-35",C840&lt;51,"36-50",C840&lt;66,"51-65",C840&gt;=66,"Above 65")</f>
        <v>36-50</v>
      </c>
      <c r="O840" s="6"/>
    </row>
    <row r="841" spans="1:15" x14ac:dyDescent="0.35">
      <c r="A841" t="s">
        <v>1500</v>
      </c>
      <c r="B841" t="s">
        <v>1501</v>
      </c>
      <c r="C841">
        <v>1</v>
      </c>
      <c r="D841" t="s">
        <v>12</v>
      </c>
      <c r="E841" s="5">
        <v>46004</v>
      </c>
      <c r="F841" s="5">
        <v>46006</v>
      </c>
      <c r="G841">
        <f t="shared" si="26"/>
        <v>2</v>
      </c>
      <c r="H841" t="s">
        <v>49</v>
      </c>
      <c r="I841" t="s">
        <v>130</v>
      </c>
      <c r="J841" s="2">
        <v>3542.96</v>
      </c>
      <c r="K841" s="6">
        <v>0.8</v>
      </c>
      <c r="L841" t="s">
        <v>25</v>
      </c>
      <c r="M841" s="3">
        <f t="shared" si="27"/>
        <v>0</v>
      </c>
      <c r="N841" s="9" t="str" cm="1">
        <f t="array" ref="N841">_xlfn.IFS(C841&lt;18,"Under 18",C841&lt;36,"18-35",C841&lt;51,"36-50",C841&lt;66,"51-65",C841&gt;=66,"Above 65")</f>
        <v>Under 18</v>
      </c>
      <c r="O841" s="6"/>
    </row>
    <row r="842" spans="1:15" x14ac:dyDescent="0.35">
      <c r="A842" t="s">
        <v>1502</v>
      </c>
      <c r="B842" t="s">
        <v>286</v>
      </c>
      <c r="C842">
        <v>1</v>
      </c>
      <c r="D842" t="s">
        <v>12</v>
      </c>
      <c r="E842" s="5">
        <v>45997</v>
      </c>
      <c r="F842" s="5">
        <v>46002</v>
      </c>
      <c r="G842">
        <f t="shared" si="26"/>
        <v>5</v>
      </c>
      <c r="H842" t="s">
        <v>49</v>
      </c>
      <c r="I842" t="s">
        <v>120</v>
      </c>
      <c r="J842" s="2">
        <v>6340.11</v>
      </c>
      <c r="K842" s="6">
        <v>0.7</v>
      </c>
      <c r="L842" t="s">
        <v>20</v>
      </c>
      <c r="M842" s="3">
        <f t="shared" si="27"/>
        <v>0</v>
      </c>
      <c r="N842" s="9" t="str" cm="1">
        <f t="array" ref="N842">_xlfn.IFS(C842&lt;18,"Under 18",C842&lt;36,"18-35",C842&lt;51,"36-50",C842&lt;66,"51-65",C842&gt;=66,"Above 65")</f>
        <v>Under 18</v>
      </c>
      <c r="O842" s="6"/>
    </row>
    <row r="843" spans="1:15" x14ac:dyDescent="0.35">
      <c r="A843" t="s">
        <v>1503</v>
      </c>
      <c r="B843" t="s">
        <v>1504</v>
      </c>
      <c r="C843">
        <v>31</v>
      </c>
      <c r="D843" t="s">
        <v>12</v>
      </c>
      <c r="E843" s="5">
        <v>45386</v>
      </c>
      <c r="F843" s="5">
        <v>45399</v>
      </c>
      <c r="G843">
        <f t="shared" si="26"/>
        <v>13</v>
      </c>
      <c r="H843" t="s">
        <v>60</v>
      </c>
      <c r="I843" t="s">
        <v>97</v>
      </c>
      <c r="J843" s="2">
        <v>33330.199999999997</v>
      </c>
      <c r="K843" s="6">
        <v>0.6</v>
      </c>
      <c r="L843" t="s">
        <v>15</v>
      </c>
      <c r="M843" s="3">
        <f t="shared" si="27"/>
        <v>33330.199999999997</v>
      </c>
      <c r="N843" s="9" t="str" cm="1">
        <f t="array" ref="N843">_xlfn.IFS(C843&lt;18,"Under 18",C843&lt;36,"18-35",C843&lt;51,"36-50",C843&lt;66,"51-65",C843&gt;=66,"Above 65")</f>
        <v>18-35</v>
      </c>
      <c r="O843" s="6"/>
    </row>
    <row r="844" spans="1:15" x14ac:dyDescent="0.35">
      <c r="A844" t="s">
        <v>1505</v>
      </c>
      <c r="B844" t="s">
        <v>1107</v>
      </c>
      <c r="C844">
        <v>35</v>
      </c>
      <c r="D844" t="s">
        <v>18</v>
      </c>
      <c r="E844" s="5">
        <v>45649</v>
      </c>
      <c r="F844" s="5">
        <v>45652</v>
      </c>
      <c r="G844">
        <f t="shared" si="26"/>
        <v>3</v>
      </c>
      <c r="H844" t="s">
        <v>60</v>
      </c>
      <c r="I844" t="s">
        <v>77</v>
      </c>
      <c r="J844" s="2">
        <v>4622.9399999999996</v>
      </c>
      <c r="K844" s="6">
        <v>0.9</v>
      </c>
      <c r="L844" t="s">
        <v>15</v>
      </c>
      <c r="M844" s="3">
        <f t="shared" si="27"/>
        <v>4622.9399999999996</v>
      </c>
      <c r="N844" s="9" t="str" cm="1">
        <f t="array" ref="N844">_xlfn.IFS(C844&lt;18,"Under 18",C844&lt;36,"18-35",C844&lt;51,"36-50",C844&lt;66,"51-65",C844&gt;=66,"Above 65")</f>
        <v>18-35</v>
      </c>
      <c r="O844" s="6"/>
    </row>
    <row r="845" spans="1:15" x14ac:dyDescent="0.35">
      <c r="A845" t="s">
        <v>1506</v>
      </c>
      <c r="B845" t="s">
        <v>1507</v>
      </c>
      <c r="C845">
        <v>2</v>
      </c>
      <c r="D845" t="s">
        <v>12</v>
      </c>
      <c r="E845" s="5">
        <v>45472</v>
      </c>
      <c r="F845" s="5">
        <v>45477</v>
      </c>
      <c r="G845">
        <f t="shared" si="26"/>
        <v>5</v>
      </c>
      <c r="H845" t="s">
        <v>49</v>
      </c>
      <c r="I845" t="s">
        <v>123</v>
      </c>
      <c r="J845" s="2">
        <v>6314.88</v>
      </c>
      <c r="K845" s="6">
        <v>0.7</v>
      </c>
      <c r="L845" t="s">
        <v>15</v>
      </c>
      <c r="M845" s="3">
        <f t="shared" si="27"/>
        <v>6314.88</v>
      </c>
      <c r="N845" s="9" t="str" cm="1">
        <f t="array" ref="N845">_xlfn.IFS(C845&lt;18,"Under 18",C845&lt;36,"18-35",C845&lt;51,"36-50",C845&lt;66,"51-65",C845&gt;=66,"Above 65")</f>
        <v>Under 18</v>
      </c>
      <c r="O845" s="6"/>
    </row>
    <row r="846" spans="1:15" x14ac:dyDescent="0.35">
      <c r="A846" t="s">
        <v>1508</v>
      </c>
      <c r="B846" t="s">
        <v>1509</v>
      </c>
      <c r="C846">
        <v>25</v>
      </c>
      <c r="D846" t="s">
        <v>12</v>
      </c>
      <c r="E846" s="5">
        <v>45409</v>
      </c>
      <c r="F846" s="5">
        <v>45423</v>
      </c>
      <c r="G846">
        <f t="shared" si="26"/>
        <v>14</v>
      </c>
      <c r="H846" t="s">
        <v>60</v>
      </c>
      <c r="I846" t="s">
        <v>97</v>
      </c>
      <c r="J846" s="2">
        <v>25971.47</v>
      </c>
      <c r="K846" s="6">
        <v>0.8</v>
      </c>
      <c r="L846" t="s">
        <v>20</v>
      </c>
      <c r="M846" s="3">
        <f t="shared" si="27"/>
        <v>0</v>
      </c>
      <c r="N846" s="9" t="str" cm="1">
        <f t="array" ref="N846">_xlfn.IFS(C846&lt;18,"Under 18",C846&lt;36,"18-35",C846&lt;51,"36-50",C846&lt;66,"51-65",C846&gt;=66,"Above 65")</f>
        <v>18-35</v>
      </c>
      <c r="O846" s="6"/>
    </row>
    <row r="847" spans="1:15" x14ac:dyDescent="0.35">
      <c r="A847" t="s">
        <v>1510</v>
      </c>
      <c r="B847" t="s">
        <v>1341</v>
      </c>
      <c r="C847">
        <v>44</v>
      </c>
      <c r="D847" t="s">
        <v>18</v>
      </c>
      <c r="E847" s="5">
        <v>45346</v>
      </c>
      <c r="F847" s="5">
        <v>45351</v>
      </c>
      <c r="G847">
        <f t="shared" si="26"/>
        <v>5</v>
      </c>
      <c r="H847" t="s">
        <v>31</v>
      </c>
      <c r="I847" t="s">
        <v>234</v>
      </c>
      <c r="J847" s="2">
        <v>2926.43</v>
      </c>
      <c r="K847" s="6">
        <v>0.9</v>
      </c>
      <c r="L847" t="s">
        <v>15</v>
      </c>
      <c r="M847" s="3">
        <f t="shared" si="27"/>
        <v>2926.43</v>
      </c>
      <c r="N847" s="9" t="str" cm="1">
        <f t="array" ref="N847">_xlfn.IFS(C847&lt;18,"Under 18",C847&lt;36,"18-35",C847&lt;51,"36-50",C847&lt;66,"51-65",C847&gt;=66,"Above 65")</f>
        <v>36-50</v>
      </c>
      <c r="O847" s="6"/>
    </row>
    <row r="848" spans="1:15" x14ac:dyDescent="0.35">
      <c r="A848" t="s">
        <v>1511</v>
      </c>
      <c r="B848" t="s">
        <v>1512</v>
      </c>
      <c r="C848">
        <v>39</v>
      </c>
      <c r="D848" t="s">
        <v>12</v>
      </c>
      <c r="E848" s="5">
        <v>45931</v>
      </c>
      <c r="F848" s="5">
        <v>45936</v>
      </c>
      <c r="G848">
        <f t="shared" si="26"/>
        <v>5</v>
      </c>
      <c r="H848" t="s">
        <v>31</v>
      </c>
      <c r="I848" t="s">
        <v>44</v>
      </c>
      <c r="J848" s="2">
        <v>6712.97</v>
      </c>
      <c r="K848" s="6">
        <v>0.8</v>
      </c>
      <c r="L848" t="s">
        <v>20</v>
      </c>
      <c r="M848" s="3">
        <f t="shared" si="27"/>
        <v>0</v>
      </c>
      <c r="N848" s="9" t="str" cm="1">
        <f t="array" ref="N848">_xlfn.IFS(C848&lt;18,"Under 18",C848&lt;36,"18-35",C848&lt;51,"36-50",C848&lt;66,"51-65",C848&gt;=66,"Above 65")</f>
        <v>36-50</v>
      </c>
      <c r="O848" s="6"/>
    </row>
    <row r="849" spans="1:15" x14ac:dyDescent="0.35">
      <c r="A849" t="s">
        <v>1513</v>
      </c>
      <c r="B849" t="s">
        <v>1455</v>
      </c>
      <c r="C849">
        <v>72</v>
      </c>
      <c r="D849" t="s">
        <v>18</v>
      </c>
      <c r="E849" s="5">
        <v>45539</v>
      </c>
      <c r="F849" s="5">
        <v>45542</v>
      </c>
      <c r="G849">
        <f t="shared" si="26"/>
        <v>3</v>
      </c>
      <c r="H849" t="s">
        <v>31</v>
      </c>
      <c r="I849" t="s">
        <v>35</v>
      </c>
      <c r="J849" s="2">
        <v>3235.11</v>
      </c>
      <c r="K849" s="6">
        <v>0.8</v>
      </c>
      <c r="L849" t="s">
        <v>15</v>
      </c>
      <c r="M849" s="3">
        <f t="shared" si="27"/>
        <v>3235.11</v>
      </c>
      <c r="N849" s="9" t="str" cm="1">
        <f t="array" ref="N849">_xlfn.IFS(C849&lt;18,"Under 18",C849&lt;36,"18-35",C849&lt;51,"36-50",C849&lt;66,"51-65",C849&gt;=66,"Above 65")</f>
        <v>Above 65</v>
      </c>
      <c r="O849" s="6"/>
    </row>
    <row r="850" spans="1:15" x14ac:dyDescent="0.35">
      <c r="A850" t="s">
        <v>1514</v>
      </c>
      <c r="B850" t="s">
        <v>1515</v>
      </c>
      <c r="C850">
        <v>64</v>
      </c>
      <c r="D850" t="s">
        <v>12</v>
      </c>
      <c r="E850" s="5">
        <v>45969</v>
      </c>
      <c r="F850" s="5">
        <v>45970</v>
      </c>
      <c r="G850">
        <f t="shared" si="26"/>
        <v>1</v>
      </c>
      <c r="H850" t="s">
        <v>23</v>
      </c>
      <c r="I850" t="s">
        <v>41</v>
      </c>
      <c r="J850" s="2">
        <v>1023.76</v>
      </c>
      <c r="K850" s="6">
        <v>1</v>
      </c>
      <c r="L850" t="s">
        <v>15</v>
      </c>
      <c r="M850" s="3">
        <f t="shared" si="27"/>
        <v>1023.76</v>
      </c>
      <c r="N850" s="9" t="str" cm="1">
        <f t="array" ref="N850">_xlfn.IFS(C850&lt;18,"Under 18",C850&lt;36,"18-35",C850&lt;51,"36-50",C850&lt;66,"51-65",C850&gt;=66,"Above 65")</f>
        <v>51-65</v>
      </c>
      <c r="O850" s="6"/>
    </row>
    <row r="851" spans="1:15" x14ac:dyDescent="0.35">
      <c r="A851" t="s">
        <v>1516</v>
      </c>
      <c r="B851" t="s">
        <v>969</v>
      </c>
      <c r="C851">
        <v>15</v>
      </c>
      <c r="D851" t="s">
        <v>18</v>
      </c>
      <c r="E851" s="5">
        <v>45731</v>
      </c>
      <c r="F851" s="5">
        <v>45736</v>
      </c>
      <c r="G851">
        <f t="shared" si="26"/>
        <v>5</v>
      </c>
      <c r="H851" t="s">
        <v>49</v>
      </c>
      <c r="I851" t="s">
        <v>117</v>
      </c>
      <c r="J851" s="2">
        <v>3307.88</v>
      </c>
      <c r="K851" s="6">
        <v>0.8</v>
      </c>
      <c r="L851" t="s">
        <v>25</v>
      </c>
      <c r="M851" s="3">
        <f t="shared" si="27"/>
        <v>0</v>
      </c>
      <c r="N851" s="9" t="str" cm="1">
        <f t="array" ref="N851">_xlfn.IFS(C851&lt;18,"Under 18",C851&lt;36,"18-35",C851&lt;51,"36-50",C851&lt;66,"51-65",C851&gt;=66,"Above 65")</f>
        <v>Under 18</v>
      </c>
      <c r="O851" s="6"/>
    </row>
    <row r="852" spans="1:15" x14ac:dyDescent="0.35">
      <c r="A852" t="s">
        <v>1517</v>
      </c>
      <c r="B852" t="s">
        <v>1518</v>
      </c>
      <c r="C852">
        <v>1</v>
      </c>
      <c r="D852" t="s">
        <v>12</v>
      </c>
      <c r="E852" s="5">
        <v>45364</v>
      </c>
      <c r="F852" s="5">
        <v>45366</v>
      </c>
      <c r="G852">
        <f t="shared" si="26"/>
        <v>2</v>
      </c>
      <c r="H852" t="s">
        <v>49</v>
      </c>
      <c r="I852" t="s">
        <v>117</v>
      </c>
      <c r="J852" s="2">
        <v>2503.98</v>
      </c>
      <c r="K852" s="6">
        <v>0.5</v>
      </c>
      <c r="L852" t="s">
        <v>15</v>
      </c>
      <c r="M852" s="3">
        <f t="shared" si="27"/>
        <v>2503.98</v>
      </c>
      <c r="N852" s="9" t="str" cm="1">
        <f t="array" ref="N852">_xlfn.IFS(C852&lt;18,"Under 18",C852&lt;36,"18-35",C852&lt;51,"36-50",C852&lt;66,"51-65",C852&gt;=66,"Above 65")</f>
        <v>Under 18</v>
      </c>
      <c r="O852" s="6"/>
    </row>
    <row r="853" spans="1:15" x14ac:dyDescent="0.35">
      <c r="A853" t="s">
        <v>1519</v>
      </c>
      <c r="B853" t="s">
        <v>1520</v>
      </c>
      <c r="C853">
        <v>36</v>
      </c>
      <c r="D853" t="s">
        <v>12</v>
      </c>
      <c r="E853" s="5">
        <v>45549</v>
      </c>
      <c r="F853" s="5">
        <v>45555</v>
      </c>
      <c r="G853">
        <f t="shared" si="26"/>
        <v>6</v>
      </c>
      <c r="H853" t="s">
        <v>60</v>
      </c>
      <c r="I853" t="s">
        <v>61</v>
      </c>
      <c r="J853" s="2">
        <v>9721.9</v>
      </c>
      <c r="K853" s="6">
        <v>0</v>
      </c>
      <c r="L853" t="s">
        <v>20</v>
      </c>
      <c r="M853" s="3">
        <f t="shared" si="27"/>
        <v>0</v>
      </c>
      <c r="N853" s="9" t="str" cm="1">
        <f t="array" ref="N853">_xlfn.IFS(C853&lt;18,"Under 18",C853&lt;36,"18-35",C853&lt;51,"36-50",C853&lt;66,"51-65",C853&gt;=66,"Above 65")</f>
        <v>36-50</v>
      </c>
      <c r="O853" s="6"/>
    </row>
    <row r="854" spans="1:15" x14ac:dyDescent="0.35">
      <c r="A854" t="s">
        <v>1521</v>
      </c>
      <c r="B854" t="s">
        <v>1522</v>
      </c>
      <c r="C854">
        <v>45</v>
      </c>
      <c r="D854" t="s">
        <v>12</v>
      </c>
      <c r="E854" s="5">
        <v>45772</v>
      </c>
      <c r="F854" s="5">
        <v>45779</v>
      </c>
      <c r="G854">
        <f t="shared" si="26"/>
        <v>7</v>
      </c>
      <c r="H854" t="s">
        <v>31</v>
      </c>
      <c r="I854" t="s">
        <v>32</v>
      </c>
      <c r="J854" s="2">
        <v>8925.93</v>
      </c>
      <c r="K854" s="6">
        <v>0.7</v>
      </c>
      <c r="L854" t="s">
        <v>25</v>
      </c>
      <c r="M854" s="3">
        <f t="shared" si="27"/>
        <v>0</v>
      </c>
      <c r="N854" s="9" t="str" cm="1">
        <f t="array" ref="N854">_xlfn.IFS(C854&lt;18,"Under 18",C854&lt;36,"18-35",C854&lt;51,"36-50",C854&lt;66,"51-65",C854&gt;=66,"Above 65")</f>
        <v>36-50</v>
      </c>
      <c r="O854" s="6"/>
    </row>
    <row r="855" spans="1:15" x14ac:dyDescent="0.35">
      <c r="A855" t="s">
        <v>1523</v>
      </c>
      <c r="B855" t="s">
        <v>1083</v>
      </c>
      <c r="C855">
        <v>31</v>
      </c>
      <c r="D855" t="s">
        <v>12</v>
      </c>
      <c r="E855" s="5">
        <v>45407</v>
      </c>
      <c r="F855" s="5">
        <v>45410</v>
      </c>
      <c r="G855">
        <f t="shared" si="26"/>
        <v>3</v>
      </c>
      <c r="H855" t="s">
        <v>31</v>
      </c>
      <c r="I855" t="s">
        <v>53</v>
      </c>
      <c r="J855" s="2">
        <v>2423.96</v>
      </c>
      <c r="K855" s="6">
        <v>0.9</v>
      </c>
      <c r="L855" t="s">
        <v>15</v>
      </c>
      <c r="M855" s="3">
        <f t="shared" si="27"/>
        <v>2423.96</v>
      </c>
      <c r="N855" s="9" t="str" cm="1">
        <f t="array" ref="N855">_xlfn.IFS(C855&lt;18,"Under 18",C855&lt;36,"18-35",C855&lt;51,"36-50",C855&lt;66,"51-65",C855&gt;=66,"Above 65")</f>
        <v>18-35</v>
      </c>
      <c r="O855" s="6"/>
    </row>
    <row r="856" spans="1:15" x14ac:dyDescent="0.35">
      <c r="A856" t="s">
        <v>1524</v>
      </c>
      <c r="B856" t="s">
        <v>1525</v>
      </c>
      <c r="C856">
        <v>77</v>
      </c>
      <c r="D856" t="s">
        <v>18</v>
      </c>
      <c r="E856" s="5">
        <v>45612</v>
      </c>
      <c r="F856" s="5">
        <v>45618</v>
      </c>
      <c r="G856">
        <f t="shared" si="26"/>
        <v>6</v>
      </c>
      <c r="H856" t="s">
        <v>31</v>
      </c>
      <c r="I856" t="s">
        <v>35</v>
      </c>
      <c r="J856" s="2">
        <v>4453.26</v>
      </c>
      <c r="K856" s="6">
        <v>0.6</v>
      </c>
      <c r="L856" t="s">
        <v>20</v>
      </c>
      <c r="M856" s="3">
        <f t="shared" si="27"/>
        <v>0</v>
      </c>
      <c r="N856" s="9" t="str" cm="1">
        <f t="array" ref="N856">_xlfn.IFS(C856&lt;18,"Under 18",C856&lt;36,"18-35",C856&lt;51,"36-50",C856&lt;66,"51-65",C856&gt;=66,"Above 65")</f>
        <v>Above 65</v>
      </c>
      <c r="O856" s="6"/>
    </row>
    <row r="857" spans="1:15" x14ac:dyDescent="0.35">
      <c r="A857" t="s">
        <v>1526</v>
      </c>
      <c r="B857" t="s">
        <v>290</v>
      </c>
      <c r="C857">
        <v>78</v>
      </c>
      <c r="D857" t="s">
        <v>12</v>
      </c>
      <c r="E857" s="5">
        <v>45547</v>
      </c>
      <c r="F857" s="5">
        <v>45550</v>
      </c>
      <c r="G857">
        <f t="shared" si="26"/>
        <v>3</v>
      </c>
      <c r="H857" t="s">
        <v>70</v>
      </c>
      <c r="I857" t="s">
        <v>157</v>
      </c>
      <c r="J857" s="2">
        <v>4774.57</v>
      </c>
      <c r="K857" s="6">
        <v>0.9</v>
      </c>
      <c r="L857" t="s">
        <v>15</v>
      </c>
      <c r="M857" s="3">
        <f t="shared" si="27"/>
        <v>4774.57</v>
      </c>
      <c r="N857" s="9" t="str" cm="1">
        <f t="array" ref="N857">_xlfn.IFS(C857&lt;18,"Under 18",C857&lt;36,"18-35",C857&lt;51,"36-50",C857&lt;66,"51-65",C857&gt;=66,"Above 65")</f>
        <v>Above 65</v>
      </c>
      <c r="O857" s="6"/>
    </row>
    <row r="858" spans="1:15" x14ac:dyDescent="0.35">
      <c r="A858" t="s">
        <v>1527</v>
      </c>
      <c r="B858" t="s">
        <v>1089</v>
      </c>
      <c r="C858">
        <v>31</v>
      </c>
      <c r="D858" t="s">
        <v>18</v>
      </c>
      <c r="E858" s="5">
        <v>45382</v>
      </c>
      <c r="F858" s="5">
        <v>45385</v>
      </c>
      <c r="G858">
        <f t="shared" si="26"/>
        <v>3</v>
      </c>
      <c r="H858" t="s">
        <v>23</v>
      </c>
      <c r="I858" t="s">
        <v>41</v>
      </c>
      <c r="J858" s="2">
        <v>3412</v>
      </c>
      <c r="K858" s="6">
        <v>1</v>
      </c>
      <c r="L858" t="s">
        <v>15</v>
      </c>
      <c r="M858" s="3">
        <f t="shared" si="27"/>
        <v>3412</v>
      </c>
      <c r="N858" s="9" t="str" cm="1">
        <f t="array" ref="N858">_xlfn.IFS(C858&lt;18,"Under 18",C858&lt;36,"18-35",C858&lt;51,"36-50",C858&lt;66,"51-65",C858&gt;=66,"Above 65")</f>
        <v>18-35</v>
      </c>
      <c r="O858" s="6"/>
    </row>
    <row r="859" spans="1:15" x14ac:dyDescent="0.35">
      <c r="A859" t="s">
        <v>1528</v>
      </c>
      <c r="B859" t="s">
        <v>670</v>
      </c>
      <c r="C859">
        <v>51</v>
      </c>
      <c r="D859" t="s">
        <v>18</v>
      </c>
      <c r="E859" s="5">
        <v>45576</v>
      </c>
      <c r="F859" s="5">
        <v>45577</v>
      </c>
      <c r="G859">
        <f t="shared" si="26"/>
        <v>1</v>
      </c>
      <c r="H859" t="s">
        <v>31</v>
      </c>
      <c r="I859" t="s">
        <v>53</v>
      </c>
      <c r="J859" s="2">
        <v>1093.33</v>
      </c>
      <c r="K859" s="6">
        <v>0.8</v>
      </c>
      <c r="L859" t="s">
        <v>15</v>
      </c>
      <c r="M859" s="3">
        <f t="shared" si="27"/>
        <v>1093.33</v>
      </c>
      <c r="N859" s="9" t="str" cm="1">
        <f t="array" ref="N859">_xlfn.IFS(C859&lt;18,"Under 18",C859&lt;36,"18-35",C859&lt;51,"36-50",C859&lt;66,"51-65",C859&gt;=66,"Above 65")</f>
        <v>51-65</v>
      </c>
      <c r="O859" s="6"/>
    </row>
    <row r="860" spans="1:15" x14ac:dyDescent="0.35">
      <c r="A860" t="s">
        <v>1529</v>
      </c>
      <c r="B860" t="s">
        <v>1530</v>
      </c>
      <c r="C860">
        <v>3</v>
      </c>
      <c r="D860" t="s">
        <v>18</v>
      </c>
      <c r="E860" s="5">
        <v>45964</v>
      </c>
      <c r="F860" s="5">
        <v>45968</v>
      </c>
      <c r="G860">
        <f t="shared" si="26"/>
        <v>4</v>
      </c>
      <c r="H860" t="s">
        <v>49</v>
      </c>
      <c r="I860" t="s">
        <v>50</v>
      </c>
      <c r="J860" s="2">
        <v>5111.21</v>
      </c>
      <c r="K860" s="6">
        <v>1</v>
      </c>
      <c r="L860" t="s">
        <v>15</v>
      </c>
      <c r="M860" s="3">
        <f t="shared" si="27"/>
        <v>5111.21</v>
      </c>
      <c r="N860" s="9" t="str" cm="1">
        <f t="array" ref="N860">_xlfn.IFS(C860&lt;18,"Under 18",C860&lt;36,"18-35",C860&lt;51,"36-50",C860&lt;66,"51-65",C860&gt;=66,"Above 65")</f>
        <v>Under 18</v>
      </c>
      <c r="O860" s="6"/>
    </row>
    <row r="861" spans="1:15" x14ac:dyDescent="0.35">
      <c r="A861" t="s">
        <v>1531</v>
      </c>
      <c r="B861" t="s">
        <v>1532</v>
      </c>
      <c r="C861">
        <v>75</v>
      </c>
      <c r="D861" t="s">
        <v>12</v>
      </c>
      <c r="E861" s="5">
        <v>45717</v>
      </c>
      <c r="F861" s="5">
        <v>45723</v>
      </c>
      <c r="G861">
        <f t="shared" si="26"/>
        <v>6</v>
      </c>
      <c r="H861" t="s">
        <v>31</v>
      </c>
      <c r="I861" t="s">
        <v>44</v>
      </c>
      <c r="J861" s="2">
        <v>5375.85</v>
      </c>
      <c r="K861" s="6">
        <v>0.7</v>
      </c>
      <c r="L861" t="s">
        <v>15</v>
      </c>
      <c r="M861" s="3">
        <f t="shared" si="27"/>
        <v>5375.85</v>
      </c>
      <c r="N861" s="9" t="str" cm="1">
        <f t="array" ref="N861">_xlfn.IFS(C861&lt;18,"Under 18",C861&lt;36,"18-35",C861&lt;51,"36-50",C861&lt;66,"51-65",C861&gt;=66,"Above 65")</f>
        <v>Above 65</v>
      </c>
      <c r="O861" s="6"/>
    </row>
    <row r="862" spans="1:15" x14ac:dyDescent="0.35">
      <c r="A862" t="s">
        <v>1533</v>
      </c>
      <c r="B862" t="s">
        <v>1534</v>
      </c>
      <c r="C862">
        <v>55</v>
      </c>
      <c r="D862" t="s">
        <v>12</v>
      </c>
      <c r="E862" s="5">
        <v>45494</v>
      </c>
      <c r="F862" s="5">
        <v>45498</v>
      </c>
      <c r="G862">
        <f t="shared" si="26"/>
        <v>4</v>
      </c>
      <c r="H862" t="s">
        <v>60</v>
      </c>
      <c r="I862" t="s">
        <v>61</v>
      </c>
      <c r="J862" s="2">
        <v>9604.6200000000008</v>
      </c>
      <c r="K862" s="6">
        <v>1</v>
      </c>
      <c r="L862" t="s">
        <v>20</v>
      </c>
      <c r="M862" s="3">
        <f t="shared" si="27"/>
        <v>0</v>
      </c>
      <c r="N862" s="9" t="str" cm="1">
        <f t="array" ref="N862">_xlfn.IFS(C862&lt;18,"Under 18",C862&lt;36,"18-35",C862&lt;51,"36-50",C862&lt;66,"51-65",C862&gt;=66,"Above 65")</f>
        <v>51-65</v>
      </c>
      <c r="O862" s="6"/>
    </row>
    <row r="863" spans="1:15" x14ac:dyDescent="0.35">
      <c r="A863" t="s">
        <v>1535</v>
      </c>
      <c r="B863" t="s">
        <v>1536</v>
      </c>
      <c r="C863">
        <v>51</v>
      </c>
      <c r="D863" t="s">
        <v>18</v>
      </c>
      <c r="E863" s="5">
        <v>45633</v>
      </c>
      <c r="F863" s="5">
        <v>45640</v>
      </c>
      <c r="G863">
        <f t="shared" si="26"/>
        <v>7</v>
      </c>
      <c r="H863" t="s">
        <v>31</v>
      </c>
      <c r="I863" t="s">
        <v>234</v>
      </c>
      <c r="J863" s="2">
        <v>8806.14</v>
      </c>
      <c r="K863" s="6">
        <v>0.7</v>
      </c>
      <c r="L863" t="s">
        <v>15</v>
      </c>
      <c r="M863" s="3">
        <f t="shared" si="27"/>
        <v>8806.14</v>
      </c>
      <c r="N863" s="9" t="str" cm="1">
        <f t="array" ref="N863">_xlfn.IFS(C863&lt;18,"Under 18",C863&lt;36,"18-35",C863&lt;51,"36-50",C863&lt;66,"51-65",C863&gt;=66,"Above 65")</f>
        <v>51-65</v>
      </c>
      <c r="O863" s="6"/>
    </row>
    <row r="864" spans="1:15" x14ac:dyDescent="0.35">
      <c r="A864" t="s">
        <v>1537</v>
      </c>
      <c r="B864" t="s">
        <v>1538</v>
      </c>
      <c r="C864">
        <v>20</v>
      </c>
      <c r="D864" t="s">
        <v>18</v>
      </c>
      <c r="E864" s="5">
        <v>45686</v>
      </c>
      <c r="F864" s="5">
        <v>45688</v>
      </c>
      <c r="G864">
        <f t="shared" si="26"/>
        <v>2</v>
      </c>
      <c r="H864" t="s">
        <v>23</v>
      </c>
      <c r="I864" t="s">
        <v>221</v>
      </c>
      <c r="J864" s="2">
        <v>3945.82</v>
      </c>
      <c r="K864" s="6">
        <v>0.8</v>
      </c>
      <c r="L864" t="s">
        <v>15</v>
      </c>
      <c r="M864" s="3">
        <f t="shared" si="27"/>
        <v>3945.82</v>
      </c>
      <c r="N864" s="9" t="str" cm="1">
        <f t="array" ref="N864">_xlfn.IFS(C864&lt;18,"Under 18",C864&lt;36,"18-35",C864&lt;51,"36-50",C864&lt;66,"51-65",C864&gt;=66,"Above 65")</f>
        <v>18-35</v>
      </c>
      <c r="O864" s="6"/>
    </row>
    <row r="865" spans="1:15" x14ac:dyDescent="0.35">
      <c r="A865" t="s">
        <v>1539</v>
      </c>
      <c r="B865" t="s">
        <v>1540</v>
      </c>
      <c r="C865">
        <v>33</v>
      </c>
      <c r="D865" t="s">
        <v>18</v>
      </c>
      <c r="E865" s="5">
        <v>45884</v>
      </c>
      <c r="F865" s="5">
        <v>45885</v>
      </c>
      <c r="G865">
        <f t="shared" si="26"/>
        <v>1</v>
      </c>
      <c r="H865" t="s">
        <v>23</v>
      </c>
      <c r="I865" t="s">
        <v>204</v>
      </c>
      <c r="J865" s="2">
        <v>2303.3000000000002</v>
      </c>
      <c r="K865" s="6">
        <v>0.8</v>
      </c>
      <c r="L865" t="s">
        <v>15</v>
      </c>
      <c r="M865" s="3">
        <f t="shared" si="27"/>
        <v>2303.3000000000002</v>
      </c>
      <c r="N865" s="9" t="str" cm="1">
        <f t="array" ref="N865">_xlfn.IFS(C865&lt;18,"Under 18",C865&lt;36,"18-35",C865&lt;51,"36-50",C865&lt;66,"51-65",C865&gt;=66,"Above 65")</f>
        <v>18-35</v>
      </c>
      <c r="O865" s="6"/>
    </row>
    <row r="866" spans="1:15" x14ac:dyDescent="0.35">
      <c r="A866" t="s">
        <v>1541</v>
      </c>
      <c r="B866" t="s">
        <v>48</v>
      </c>
      <c r="C866">
        <v>9</v>
      </c>
      <c r="D866" t="s">
        <v>12</v>
      </c>
      <c r="E866" s="5">
        <v>45814</v>
      </c>
      <c r="F866" s="5">
        <v>45815</v>
      </c>
      <c r="G866">
        <f t="shared" si="26"/>
        <v>1</v>
      </c>
      <c r="H866" t="s">
        <v>49</v>
      </c>
      <c r="I866" t="s">
        <v>120</v>
      </c>
      <c r="J866" s="2">
        <v>1534.49</v>
      </c>
      <c r="K866" s="6">
        <v>0.8</v>
      </c>
      <c r="L866" t="s">
        <v>15</v>
      </c>
      <c r="M866" s="3">
        <f t="shared" si="27"/>
        <v>1534.49</v>
      </c>
      <c r="N866" s="9" t="str" cm="1">
        <f t="array" ref="N866">_xlfn.IFS(C866&lt;18,"Under 18",C866&lt;36,"18-35",C866&lt;51,"36-50",C866&lt;66,"51-65",C866&gt;=66,"Above 65")</f>
        <v>Under 18</v>
      </c>
      <c r="O866" s="6"/>
    </row>
    <row r="867" spans="1:15" x14ac:dyDescent="0.35">
      <c r="A867" t="s">
        <v>1542</v>
      </c>
      <c r="B867" t="s">
        <v>1543</v>
      </c>
      <c r="C867">
        <v>27</v>
      </c>
      <c r="D867" t="s">
        <v>12</v>
      </c>
      <c r="E867" s="5">
        <v>45349</v>
      </c>
      <c r="F867" s="5">
        <v>45350</v>
      </c>
      <c r="G867">
        <f t="shared" si="26"/>
        <v>1</v>
      </c>
      <c r="H867" t="s">
        <v>31</v>
      </c>
      <c r="I867" t="s">
        <v>87</v>
      </c>
      <c r="J867" s="2">
        <v>1353.93</v>
      </c>
      <c r="K867" s="6">
        <v>0.8</v>
      </c>
      <c r="L867" t="s">
        <v>15</v>
      </c>
      <c r="M867" s="3">
        <f t="shared" si="27"/>
        <v>1353.93</v>
      </c>
      <c r="N867" s="9" t="str" cm="1">
        <f t="array" ref="N867">_xlfn.IFS(C867&lt;18,"Under 18",C867&lt;36,"18-35",C867&lt;51,"36-50",C867&lt;66,"51-65",C867&gt;=66,"Above 65")</f>
        <v>18-35</v>
      </c>
      <c r="O867" s="6"/>
    </row>
    <row r="868" spans="1:15" x14ac:dyDescent="0.35">
      <c r="A868" t="s">
        <v>1544</v>
      </c>
      <c r="B868" t="s">
        <v>1545</v>
      </c>
      <c r="C868">
        <v>70</v>
      </c>
      <c r="D868" t="s">
        <v>18</v>
      </c>
      <c r="E868" s="5">
        <v>45422</v>
      </c>
      <c r="F868" s="5">
        <v>45428</v>
      </c>
      <c r="G868">
        <f t="shared" si="26"/>
        <v>6</v>
      </c>
      <c r="H868" t="s">
        <v>13</v>
      </c>
      <c r="I868" t="s">
        <v>165</v>
      </c>
      <c r="J868" s="2">
        <v>12898.02</v>
      </c>
      <c r="K868" s="6">
        <v>0.5</v>
      </c>
      <c r="L868" t="s">
        <v>20</v>
      </c>
      <c r="M868" s="3">
        <f t="shared" si="27"/>
        <v>0</v>
      </c>
      <c r="N868" s="9" t="str" cm="1">
        <f t="array" ref="N868">_xlfn.IFS(C868&lt;18,"Under 18",C868&lt;36,"18-35",C868&lt;51,"36-50",C868&lt;66,"51-65",C868&gt;=66,"Above 65")</f>
        <v>Above 65</v>
      </c>
      <c r="O868" s="6"/>
    </row>
    <row r="869" spans="1:15" x14ac:dyDescent="0.35">
      <c r="A869" t="s">
        <v>1546</v>
      </c>
      <c r="B869" t="s">
        <v>1547</v>
      </c>
      <c r="C869">
        <v>62</v>
      </c>
      <c r="D869" t="s">
        <v>18</v>
      </c>
      <c r="E869" s="5">
        <v>45420</v>
      </c>
      <c r="F869" s="5">
        <v>45424</v>
      </c>
      <c r="G869">
        <f t="shared" si="26"/>
        <v>4</v>
      </c>
      <c r="H869" t="s">
        <v>31</v>
      </c>
      <c r="I869" t="s">
        <v>53</v>
      </c>
      <c r="J869" s="2">
        <v>4833.0200000000004</v>
      </c>
      <c r="K869" s="6">
        <v>0.7</v>
      </c>
      <c r="L869" t="s">
        <v>25</v>
      </c>
      <c r="M869" s="3">
        <f t="shared" si="27"/>
        <v>0</v>
      </c>
      <c r="N869" s="9" t="str" cm="1">
        <f t="array" ref="N869">_xlfn.IFS(C869&lt;18,"Under 18",C869&lt;36,"18-35",C869&lt;51,"36-50",C869&lt;66,"51-65",C869&gt;=66,"Above 65")</f>
        <v>51-65</v>
      </c>
      <c r="O869" s="6"/>
    </row>
    <row r="870" spans="1:15" x14ac:dyDescent="0.35">
      <c r="A870" t="s">
        <v>1548</v>
      </c>
      <c r="B870" t="s">
        <v>573</v>
      </c>
      <c r="C870">
        <v>42</v>
      </c>
      <c r="D870" t="s">
        <v>12</v>
      </c>
      <c r="E870" s="5">
        <v>45619</v>
      </c>
      <c r="F870" s="5">
        <v>45622</v>
      </c>
      <c r="G870">
        <f t="shared" si="26"/>
        <v>3</v>
      </c>
      <c r="H870" t="s">
        <v>60</v>
      </c>
      <c r="I870" t="s">
        <v>142</v>
      </c>
      <c r="J870" s="2">
        <v>3132.44</v>
      </c>
      <c r="K870" s="6">
        <v>0.8</v>
      </c>
      <c r="L870" t="s">
        <v>15</v>
      </c>
      <c r="M870" s="3">
        <f t="shared" si="27"/>
        <v>3132.44</v>
      </c>
      <c r="N870" s="9" t="str" cm="1">
        <f t="array" ref="N870">_xlfn.IFS(C870&lt;18,"Under 18",C870&lt;36,"18-35",C870&lt;51,"36-50",C870&lt;66,"51-65",C870&gt;=66,"Above 65")</f>
        <v>36-50</v>
      </c>
      <c r="O870" s="6"/>
    </row>
    <row r="871" spans="1:15" x14ac:dyDescent="0.35">
      <c r="A871" t="s">
        <v>1549</v>
      </c>
      <c r="B871" t="s">
        <v>1550</v>
      </c>
      <c r="C871">
        <v>60</v>
      </c>
      <c r="D871" t="s">
        <v>12</v>
      </c>
      <c r="E871" s="5">
        <v>45791</v>
      </c>
      <c r="F871" s="5">
        <v>45798</v>
      </c>
      <c r="G871">
        <f t="shared" si="26"/>
        <v>7</v>
      </c>
      <c r="H871" t="s">
        <v>70</v>
      </c>
      <c r="I871" t="s">
        <v>157</v>
      </c>
      <c r="J871" s="2">
        <v>9720.49</v>
      </c>
      <c r="K871" s="6">
        <v>0.9</v>
      </c>
      <c r="L871" t="s">
        <v>20</v>
      </c>
      <c r="M871" s="3">
        <f t="shared" si="27"/>
        <v>0</v>
      </c>
      <c r="N871" s="9" t="str" cm="1">
        <f t="array" ref="N871">_xlfn.IFS(C871&lt;18,"Under 18",C871&lt;36,"18-35",C871&lt;51,"36-50",C871&lt;66,"51-65",C871&gt;=66,"Above 65")</f>
        <v>51-65</v>
      </c>
      <c r="O871" s="6"/>
    </row>
    <row r="872" spans="1:15" x14ac:dyDescent="0.35">
      <c r="A872" t="s">
        <v>1551</v>
      </c>
      <c r="B872" t="s">
        <v>848</v>
      </c>
      <c r="C872">
        <v>16</v>
      </c>
      <c r="D872" t="s">
        <v>18</v>
      </c>
      <c r="E872" s="5">
        <v>45682</v>
      </c>
      <c r="F872" s="5">
        <v>45685</v>
      </c>
      <c r="G872">
        <f t="shared" si="26"/>
        <v>3</v>
      </c>
      <c r="H872" t="s">
        <v>49</v>
      </c>
      <c r="I872" t="s">
        <v>50</v>
      </c>
      <c r="J872" s="2">
        <v>3754.13</v>
      </c>
      <c r="K872" s="6">
        <v>0.8</v>
      </c>
      <c r="L872" t="s">
        <v>15</v>
      </c>
      <c r="M872" s="3">
        <f t="shared" si="27"/>
        <v>3754.13</v>
      </c>
      <c r="N872" s="9" t="str" cm="1">
        <f t="array" ref="N872">_xlfn.IFS(C872&lt;18,"Under 18",C872&lt;36,"18-35",C872&lt;51,"36-50",C872&lt;66,"51-65",C872&gt;=66,"Above 65")</f>
        <v>Under 18</v>
      </c>
      <c r="O872" s="6"/>
    </row>
    <row r="873" spans="1:15" x14ac:dyDescent="0.35">
      <c r="A873" t="s">
        <v>1552</v>
      </c>
      <c r="B873" t="s">
        <v>1312</v>
      </c>
      <c r="C873">
        <v>34</v>
      </c>
      <c r="D873" t="s">
        <v>12</v>
      </c>
      <c r="E873" s="5">
        <v>45569</v>
      </c>
      <c r="F873" s="5">
        <v>45573</v>
      </c>
      <c r="G873">
        <f t="shared" si="26"/>
        <v>4</v>
      </c>
      <c r="H873" t="s">
        <v>31</v>
      </c>
      <c r="I873" t="s">
        <v>44</v>
      </c>
      <c r="J873" s="2">
        <v>5762.53</v>
      </c>
      <c r="K873" s="6">
        <v>0.9</v>
      </c>
      <c r="L873" t="s">
        <v>15</v>
      </c>
      <c r="M873" s="3">
        <f t="shared" si="27"/>
        <v>5762.53</v>
      </c>
      <c r="N873" s="9" t="str" cm="1">
        <f t="array" ref="N873">_xlfn.IFS(C873&lt;18,"Under 18",C873&lt;36,"18-35",C873&lt;51,"36-50",C873&lt;66,"51-65",C873&gt;=66,"Above 65")</f>
        <v>18-35</v>
      </c>
      <c r="O873" s="6"/>
    </row>
    <row r="874" spans="1:15" x14ac:dyDescent="0.35">
      <c r="A874" t="s">
        <v>1553</v>
      </c>
      <c r="B874" t="s">
        <v>1554</v>
      </c>
      <c r="C874">
        <v>79</v>
      </c>
      <c r="D874" t="s">
        <v>12</v>
      </c>
      <c r="E874" s="5">
        <v>45968</v>
      </c>
      <c r="F874" s="5">
        <v>45969</v>
      </c>
      <c r="G874">
        <f t="shared" si="26"/>
        <v>1</v>
      </c>
      <c r="H874" t="s">
        <v>31</v>
      </c>
      <c r="I874" t="s">
        <v>114</v>
      </c>
      <c r="J874" s="2">
        <v>808.56</v>
      </c>
      <c r="K874" s="6">
        <v>0.7</v>
      </c>
      <c r="L874" t="s">
        <v>15</v>
      </c>
      <c r="M874" s="3">
        <f t="shared" si="27"/>
        <v>808.56</v>
      </c>
      <c r="N874" s="9" t="str" cm="1">
        <f t="array" ref="N874">_xlfn.IFS(C874&lt;18,"Under 18",C874&lt;36,"18-35",C874&lt;51,"36-50",C874&lt;66,"51-65",C874&gt;=66,"Above 65")</f>
        <v>Above 65</v>
      </c>
      <c r="O874" s="6"/>
    </row>
    <row r="875" spans="1:15" x14ac:dyDescent="0.35">
      <c r="A875" t="s">
        <v>1555</v>
      </c>
      <c r="B875" t="s">
        <v>1556</v>
      </c>
      <c r="C875">
        <v>64</v>
      </c>
      <c r="D875" t="s">
        <v>18</v>
      </c>
      <c r="E875" s="5">
        <v>45973</v>
      </c>
      <c r="F875" s="5">
        <v>45981</v>
      </c>
      <c r="G875">
        <f t="shared" si="26"/>
        <v>8</v>
      </c>
      <c r="H875" t="s">
        <v>13</v>
      </c>
      <c r="I875" t="s">
        <v>38</v>
      </c>
      <c r="J875" s="2">
        <v>15637.55</v>
      </c>
      <c r="K875" s="6">
        <v>0.9</v>
      </c>
      <c r="L875" t="s">
        <v>15</v>
      </c>
      <c r="M875" s="3">
        <f t="shared" si="27"/>
        <v>15637.55</v>
      </c>
      <c r="N875" s="9" t="str" cm="1">
        <f t="array" ref="N875">_xlfn.IFS(C875&lt;18,"Under 18",C875&lt;36,"18-35",C875&lt;51,"36-50",C875&lt;66,"51-65",C875&gt;=66,"Above 65")</f>
        <v>51-65</v>
      </c>
      <c r="O875" s="6"/>
    </row>
    <row r="876" spans="1:15" x14ac:dyDescent="0.35">
      <c r="A876" t="s">
        <v>1557</v>
      </c>
      <c r="B876" t="s">
        <v>1022</v>
      </c>
      <c r="C876">
        <v>58</v>
      </c>
      <c r="D876" t="s">
        <v>18</v>
      </c>
      <c r="E876" s="5">
        <v>45722</v>
      </c>
      <c r="F876" s="5">
        <v>45724</v>
      </c>
      <c r="G876">
        <f t="shared" si="26"/>
        <v>2</v>
      </c>
      <c r="H876" t="s">
        <v>23</v>
      </c>
      <c r="I876" t="s">
        <v>41</v>
      </c>
      <c r="J876" s="2">
        <v>4011.18</v>
      </c>
      <c r="K876" s="6">
        <v>0.9</v>
      </c>
      <c r="L876" t="s">
        <v>15</v>
      </c>
      <c r="M876" s="3">
        <f t="shared" si="27"/>
        <v>4011.18</v>
      </c>
      <c r="N876" s="9" t="str" cm="1">
        <f t="array" ref="N876">_xlfn.IFS(C876&lt;18,"Under 18",C876&lt;36,"18-35",C876&lt;51,"36-50",C876&lt;66,"51-65",C876&gt;=66,"Above 65")</f>
        <v>51-65</v>
      </c>
      <c r="O876" s="6"/>
    </row>
    <row r="877" spans="1:15" x14ac:dyDescent="0.35">
      <c r="A877" t="s">
        <v>1558</v>
      </c>
      <c r="B877" t="s">
        <v>902</v>
      </c>
      <c r="C877">
        <v>53</v>
      </c>
      <c r="D877" t="s">
        <v>12</v>
      </c>
      <c r="E877" s="5">
        <v>45412</v>
      </c>
      <c r="F877" s="5">
        <v>45417</v>
      </c>
      <c r="G877">
        <f t="shared" si="26"/>
        <v>5</v>
      </c>
      <c r="H877" t="s">
        <v>13</v>
      </c>
      <c r="I877" t="s">
        <v>111</v>
      </c>
      <c r="J877" s="2">
        <v>10693.69</v>
      </c>
      <c r="K877" s="6">
        <v>1</v>
      </c>
      <c r="L877" t="s">
        <v>15</v>
      </c>
      <c r="M877" s="3">
        <f t="shared" si="27"/>
        <v>10693.69</v>
      </c>
      <c r="N877" s="9" t="str" cm="1">
        <f t="array" ref="N877">_xlfn.IFS(C877&lt;18,"Under 18",C877&lt;36,"18-35",C877&lt;51,"36-50",C877&lt;66,"51-65",C877&gt;=66,"Above 65")</f>
        <v>51-65</v>
      </c>
      <c r="O877" s="6"/>
    </row>
    <row r="878" spans="1:15" x14ac:dyDescent="0.35">
      <c r="A878" t="s">
        <v>1559</v>
      </c>
      <c r="B878" t="s">
        <v>1560</v>
      </c>
      <c r="C878">
        <v>39</v>
      </c>
      <c r="D878" t="s">
        <v>18</v>
      </c>
      <c r="E878" s="5">
        <v>45633</v>
      </c>
      <c r="F878" s="5">
        <v>45636</v>
      </c>
      <c r="G878">
        <f t="shared" si="26"/>
        <v>3</v>
      </c>
      <c r="H878" t="s">
        <v>60</v>
      </c>
      <c r="I878" t="s">
        <v>142</v>
      </c>
      <c r="J878" s="2">
        <v>3746.98</v>
      </c>
      <c r="K878" s="6">
        <v>0.8</v>
      </c>
      <c r="L878" t="s">
        <v>15</v>
      </c>
      <c r="M878" s="3">
        <f t="shared" si="27"/>
        <v>3746.98</v>
      </c>
      <c r="N878" s="9" t="str" cm="1">
        <f t="array" ref="N878">_xlfn.IFS(C878&lt;18,"Under 18",C878&lt;36,"18-35",C878&lt;51,"36-50",C878&lt;66,"51-65",C878&gt;=66,"Above 65")</f>
        <v>36-50</v>
      </c>
      <c r="O878" s="6"/>
    </row>
    <row r="879" spans="1:15" x14ac:dyDescent="0.35">
      <c r="A879" t="s">
        <v>1561</v>
      </c>
      <c r="B879" t="s">
        <v>1066</v>
      </c>
      <c r="C879">
        <v>31</v>
      </c>
      <c r="D879" t="s">
        <v>12</v>
      </c>
      <c r="E879" s="5">
        <v>45515</v>
      </c>
      <c r="F879" s="5">
        <v>45525</v>
      </c>
      <c r="G879">
        <f t="shared" si="26"/>
        <v>10</v>
      </c>
      <c r="H879" t="s">
        <v>70</v>
      </c>
      <c r="I879" t="s">
        <v>237</v>
      </c>
      <c r="J879" s="2">
        <v>24544.65</v>
      </c>
      <c r="K879" s="6">
        <v>0.8</v>
      </c>
      <c r="L879" t="s">
        <v>15</v>
      </c>
      <c r="M879" s="3">
        <f t="shared" si="27"/>
        <v>24544.65</v>
      </c>
      <c r="N879" s="9" t="str" cm="1">
        <f t="array" ref="N879">_xlfn.IFS(C879&lt;18,"Under 18",C879&lt;36,"18-35",C879&lt;51,"36-50",C879&lt;66,"51-65",C879&gt;=66,"Above 65")</f>
        <v>18-35</v>
      </c>
      <c r="O879" s="6"/>
    </row>
    <row r="880" spans="1:15" x14ac:dyDescent="0.35">
      <c r="A880" t="s">
        <v>1562</v>
      </c>
      <c r="B880" t="s">
        <v>1563</v>
      </c>
      <c r="C880">
        <v>35</v>
      </c>
      <c r="D880" t="s">
        <v>12</v>
      </c>
      <c r="E880" s="5">
        <v>45604</v>
      </c>
      <c r="F880" s="5">
        <v>45605</v>
      </c>
      <c r="G880">
        <f t="shared" si="26"/>
        <v>1</v>
      </c>
      <c r="H880" t="s">
        <v>23</v>
      </c>
      <c r="I880" t="s">
        <v>204</v>
      </c>
      <c r="J880" s="2">
        <v>1355.19</v>
      </c>
      <c r="K880" s="6">
        <v>0.8</v>
      </c>
      <c r="L880" t="s">
        <v>15</v>
      </c>
      <c r="M880" s="3">
        <f t="shared" si="27"/>
        <v>1355.19</v>
      </c>
      <c r="N880" s="9" t="str" cm="1">
        <f t="array" ref="N880">_xlfn.IFS(C880&lt;18,"Under 18",C880&lt;36,"18-35",C880&lt;51,"36-50",C880&lt;66,"51-65",C880&gt;=66,"Above 65")</f>
        <v>18-35</v>
      </c>
      <c r="O880" s="6"/>
    </row>
    <row r="881" spans="1:15" x14ac:dyDescent="0.35">
      <c r="A881" t="s">
        <v>1564</v>
      </c>
      <c r="B881" t="s">
        <v>1565</v>
      </c>
      <c r="C881">
        <v>10</v>
      </c>
      <c r="D881" t="s">
        <v>18</v>
      </c>
      <c r="E881" s="5">
        <v>45498</v>
      </c>
      <c r="F881" s="5">
        <v>45499</v>
      </c>
      <c r="G881">
        <f t="shared" si="26"/>
        <v>1</v>
      </c>
      <c r="H881" t="s">
        <v>49</v>
      </c>
      <c r="I881" t="s">
        <v>123</v>
      </c>
      <c r="J881" s="2">
        <v>628.96</v>
      </c>
      <c r="K881" s="6">
        <v>0.7</v>
      </c>
      <c r="L881" t="s">
        <v>15</v>
      </c>
      <c r="M881" s="3">
        <f t="shared" si="27"/>
        <v>628.96</v>
      </c>
      <c r="N881" s="9" t="str" cm="1">
        <f t="array" ref="N881">_xlfn.IFS(C881&lt;18,"Under 18",C881&lt;36,"18-35",C881&lt;51,"36-50",C881&lt;66,"51-65",C881&gt;=66,"Above 65")</f>
        <v>Under 18</v>
      </c>
      <c r="O881" s="6"/>
    </row>
    <row r="882" spans="1:15" x14ac:dyDescent="0.35">
      <c r="A882" t="s">
        <v>1566</v>
      </c>
      <c r="B882" t="s">
        <v>1567</v>
      </c>
      <c r="C882">
        <v>47</v>
      </c>
      <c r="D882" t="s">
        <v>18</v>
      </c>
      <c r="E882" s="5">
        <v>45684</v>
      </c>
      <c r="F882" s="5">
        <v>45686</v>
      </c>
      <c r="G882">
        <f t="shared" si="26"/>
        <v>2</v>
      </c>
      <c r="H882" t="s">
        <v>31</v>
      </c>
      <c r="I882" t="s">
        <v>87</v>
      </c>
      <c r="J882" s="2">
        <v>2366.37</v>
      </c>
      <c r="K882" s="6">
        <v>0.8</v>
      </c>
      <c r="L882" t="s">
        <v>15</v>
      </c>
      <c r="M882" s="3">
        <f t="shared" si="27"/>
        <v>2366.37</v>
      </c>
      <c r="N882" s="9" t="str" cm="1">
        <f t="array" ref="N882">_xlfn.IFS(C882&lt;18,"Under 18",C882&lt;36,"18-35",C882&lt;51,"36-50",C882&lt;66,"51-65",C882&gt;=66,"Above 65")</f>
        <v>36-50</v>
      </c>
      <c r="O882" s="6"/>
    </row>
    <row r="883" spans="1:15" x14ac:dyDescent="0.35">
      <c r="A883" t="s">
        <v>1568</v>
      </c>
      <c r="B883" t="s">
        <v>1569</v>
      </c>
      <c r="C883">
        <v>22</v>
      </c>
      <c r="D883" t="s">
        <v>12</v>
      </c>
      <c r="E883" s="5">
        <v>45565</v>
      </c>
      <c r="F883" s="5">
        <v>45566</v>
      </c>
      <c r="G883">
        <f t="shared" si="26"/>
        <v>1</v>
      </c>
      <c r="H883" t="s">
        <v>23</v>
      </c>
      <c r="I883" t="s">
        <v>333</v>
      </c>
      <c r="J883" s="2">
        <v>2471.9699999999998</v>
      </c>
      <c r="K883" s="6">
        <v>0.5</v>
      </c>
      <c r="L883" t="s">
        <v>15</v>
      </c>
      <c r="M883" s="3">
        <f t="shared" si="27"/>
        <v>2471.9699999999998</v>
      </c>
      <c r="N883" s="9" t="str" cm="1">
        <f t="array" ref="N883">_xlfn.IFS(C883&lt;18,"Under 18",C883&lt;36,"18-35",C883&lt;51,"36-50",C883&lt;66,"51-65",C883&gt;=66,"Above 65")</f>
        <v>18-35</v>
      </c>
      <c r="O883" s="6"/>
    </row>
    <row r="884" spans="1:15" x14ac:dyDescent="0.35">
      <c r="A884" t="s">
        <v>1570</v>
      </c>
      <c r="B884" t="s">
        <v>1571</v>
      </c>
      <c r="C884">
        <v>51</v>
      </c>
      <c r="D884" t="s">
        <v>18</v>
      </c>
      <c r="E884" s="5">
        <v>45611</v>
      </c>
      <c r="F884" s="5">
        <v>45616</v>
      </c>
      <c r="G884">
        <f t="shared" si="26"/>
        <v>5</v>
      </c>
      <c r="H884" t="s">
        <v>13</v>
      </c>
      <c r="I884" t="s">
        <v>102</v>
      </c>
      <c r="J884" s="2">
        <v>12189.63</v>
      </c>
      <c r="K884" s="6">
        <v>0.9</v>
      </c>
      <c r="L884" t="s">
        <v>15</v>
      </c>
      <c r="M884" s="3">
        <f t="shared" si="27"/>
        <v>12189.63</v>
      </c>
      <c r="N884" s="9" t="str" cm="1">
        <f t="array" ref="N884">_xlfn.IFS(C884&lt;18,"Under 18",C884&lt;36,"18-35",C884&lt;51,"36-50",C884&lt;66,"51-65",C884&gt;=66,"Above 65")</f>
        <v>51-65</v>
      </c>
      <c r="O884" s="6"/>
    </row>
    <row r="885" spans="1:15" x14ac:dyDescent="0.35">
      <c r="A885" t="s">
        <v>1572</v>
      </c>
      <c r="B885" t="s">
        <v>1573</v>
      </c>
      <c r="C885">
        <v>7</v>
      </c>
      <c r="D885" t="s">
        <v>12</v>
      </c>
      <c r="E885" s="5">
        <v>45660</v>
      </c>
      <c r="F885" s="5">
        <v>45663</v>
      </c>
      <c r="G885">
        <f t="shared" si="26"/>
        <v>3</v>
      </c>
      <c r="H885" t="s">
        <v>49</v>
      </c>
      <c r="I885" t="s">
        <v>120</v>
      </c>
      <c r="J885" s="2">
        <v>4133.3599999999997</v>
      </c>
      <c r="K885" s="6">
        <v>0.6</v>
      </c>
      <c r="L885" t="s">
        <v>20</v>
      </c>
      <c r="M885" s="3">
        <f t="shared" si="27"/>
        <v>0</v>
      </c>
      <c r="N885" s="9" t="str" cm="1">
        <f t="array" ref="N885">_xlfn.IFS(C885&lt;18,"Under 18",C885&lt;36,"18-35",C885&lt;51,"36-50",C885&lt;66,"51-65",C885&gt;=66,"Above 65")</f>
        <v>Under 18</v>
      </c>
      <c r="O885" s="6"/>
    </row>
    <row r="886" spans="1:15" x14ac:dyDescent="0.35">
      <c r="A886" t="s">
        <v>1574</v>
      </c>
      <c r="B886" t="s">
        <v>1575</v>
      </c>
      <c r="C886">
        <v>29</v>
      </c>
      <c r="D886" t="s">
        <v>18</v>
      </c>
      <c r="E886" s="5">
        <v>45672</v>
      </c>
      <c r="F886" s="5">
        <v>45682</v>
      </c>
      <c r="G886">
        <f t="shared" si="26"/>
        <v>10</v>
      </c>
      <c r="H886" t="s">
        <v>60</v>
      </c>
      <c r="I886" t="s">
        <v>74</v>
      </c>
      <c r="J886" s="2">
        <v>10560.57</v>
      </c>
      <c r="K886" s="6">
        <v>0.7</v>
      </c>
      <c r="L886" t="s">
        <v>15</v>
      </c>
      <c r="M886" s="3">
        <f t="shared" si="27"/>
        <v>10560.57</v>
      </c>
      <c r="N886" s="9" t="str" cm="1">
        <f t="array" ref="N886">_xlfn.IFS(C886&lt;18,"Under 18",C886&lt;36,"18-35",C886&lt;51,"36-50",C886&lt;66,"51-65",C886&gt;=66,"Above 65")</f>
        <v>18-35</v>
      </c>
      <c r="O886" s="6"/>
    </row>
    <row r="887" spans="1:15" x14ac:dyDescent="0.35">
      <c r="A887" t="s">
        <v>1576</v>
      </c>
      <c r="B887" t="s">
        <v>1577</v>
      </c>
      <c r="C887">
        <v>55</v>
      </c>
      <c r="D887" t="s">
        <v>18</v>
      </c>
      <c r="E887" s="5">
        <v>45494</v>
      </c>
      <c r="F887" s="5">
        <v>45500</v>
      </c>
      <c r="G887">
        <f t="shared" si="26"/>
        <v>6</v>
      </c>
      <c r="H887" t="s">
        <v>13</v>
      </c>
      <c r="I887" t="s">
        <v>111</v>
      </c>
      <c r="J887" s="2">
        <v>16685.38</v>
      </c>
      <c r="K887" s="6">
        <v>0.9</v>
      </c>
      <c r="L887" t="s">
        <v>25</v>
      </c>
      <c r="M887" s="3">
        <f t="shared" si="27"/>
        <v>0</v>
      </c>
      <c r="N887" s="9" t="str" cm="1">
        <f t="array" ref="N887">_xlfn.IFS(C887&lt;18,"Under 18",C887&lt;36,"18-35",C887&lt;51,"36-50",C887&lt;66,"51-65",C887&gt;=66,"Above 65")</f>
        <v>51-65</v>
      </c>
      <c r="O887" s="6"/>
    </row>
    <row r="888" spans="1:15" x14ac:dyDescent="0.35">
      <c r="A888" t="s">
        <v>1578</v>
      </c>
      <c r="B888" t="s">
        <v>17</v>
      </c>
      <c r="C888">
        <v>43</v>
      </c>
      <c r="D888" t="s">
        <v>18</v>
      </c>
      <c r="E888" s="5">
        <v>45450</v>
      </c>
      <c r="F888" s="5">
        <v>45455</v>
      </c>
      <c r="G888">
        <f t="shared" si="26"/>
        <v>5</v>
      </c>
      <c r="H888" t="s">
        <v>60</v>
      </c>
      <c r="I888" t="s">
        <v>97</v>
      </c>
      <c r="J888" s="2">
        <v>12448.18</v>
      </c>
      <c r="K888" s="6">
        <v>0.9</v>
      </c>
      <c r="L888" t="s">
        <v>15</v>
      </c>
      <c r="M888" s="3">
        <f t="shared" si="27"/>
        <v>12448.18</v>
      </c>
      <c r="N888" s="9" t="str" cm="1">
        <f t="array" ref="N888">_xlfn.IFS(C888&lt;18,"Under 18",C888&lt;36,"18-35",C888&lt;51,"36-50",C888&lt;66,"51-65",C888&gt;=66,"Above 65")</f>
        <v>36-50</v>
      </c>
      <c r="O888" s="6"/>
    </row>
    <row r="889" spans="1:15" x14ac:dyDescent="0.35">
      <c r="A889" t="s">
        <v>1579</v>
      </c>
      <c r="B889" t="s">
        <v>382</v>
      </c>
      <c r="C889">
        <v>58</v>
      </c>
      <c r="D889" t="s">
        <v>18</v>
      </c>
      <c r="E889" s="5">
        <v>45541</v>
      </c>
      <c r="F889" s="5">
        <v>45544</v>
      </c>
      <c r="G889">
        <f t="shared" si="26"/>
        <v>3</v>
      </c>
      <c r="H889" t="s">
        <v>70</v>
      </c>
      <c r="I889" t="s">
        <v>295</v>
      </c>
      <c r="J889" s="2">
        <v>7181.24</v>
      </c>
      <c r="K889" s="6">
        <v>0.8</v>
      </c>
      <c r="L889" t="s">
        <v>15</v>
      </c>
      <c r="M889" s="3">
        <f t="shared" si="27"/>
        <v>7181.24</v>
      </c>
      <c r="N889" s="9" t="str" cm="1">
        <f t="array" ref="N889">_xlfn.IFS(C889&lt;18,"Under 18",C889&lt;36,"18-35",C889&lt;51,"36-50",C889&lt;66,"51-65",C889&gt;=66,"Above 65")</f>
        <v>51-65</v>
      </c>
      <c r="O889" s="6"/>
    </row>
    <row r="890" spans="1:15" x14ac:dyDescent="0.35">
      <c r="A890" t="s">
        <v>1580</v>
      </c>
      <c r="B890" t="s">
        <v>1525</v>
      </c>
      <c r="C890">
        <v>51</v>
      </c>
      <c r="D890" t="s">
        <v>18</v>
      </c>
      <c r="E890" s="5">
        <v>45977</v>
      </c>
      <c r="F890" s="5">
        <v>45987</v>
      </c>
      <c r="G890">
        <f t="shared" si="26"/>
        <v>10</v>
      </c>
      <c r="H890" t="s">
        <v>70</v>
      </c>
      <c r="I890" t="s">
        <v>71</v>
      </c>
      <c r="J890" s="2">
        <v>12719.1</v>
      </c>
      <c r="K890" s="6">
        <v>0.8</v>
      </c>
      <c r="L890" t="s">
        <v>20</v>
      </c>
      <c r="M890" s="3">
        <f t="shared" si="27"/>
        <v>0</v>
      </c>
      <c r="N890" s="9" t="str" cm="1">
        <f t="array" ref="N890">_xlfn.IFS(C890&lt;18,"Under 18",C890&lt;36,"18-35",C890&lt;51,"36-50",C890&lt;66,"51-65",C890&gt;=66,"Above 65")</f>
        <v>51-65</v>
      </c>
      <c r="O890" s="6"/>
    </row>
    <row r="891" spans="1:15" x14ac:dyDescent="0.35">
      <c r="A891" t="s">
        <v>1581</v>
      </c>
      <c r="B891" t="s">
        <v>1582</v>
      </c>
      <c r="C891">
        <v>19</v>
      </c>
      <c r="D891" t="s">
        <v>18</v>
      </c>
      <c r="E891" s="5">
        <v>45489</v>
      </c>
      <c r="F891" s="5">
        <v>45494</v>
      </c>
      <c r="G891">
        <f t="shared" si="26"/>
        <v>5</v>
      </c>
      <c r="H891" t="s">
        <v>31</v>
      </c>
      <c r="I891" t="s">
        <v>53</v>
      </c>
      <c r="J891" s="2">
        <v>3960.59</v>
      </c>
      <c r="K891" s="6">
        <v>0.7</v>
      </c>
      <c r="L891" t="s">
        <v>25</v>
      </c>
      <c r="M891" s="3">
        <f t="shared" si="27"/>
        <v>0</v>
      </c>
      <c r="N891" s="9" t="str" cm="1">
        <f t="array" ref="N891">_xlfn.IFS(C891&lt;18,"Under 18",C891&lt;36,"18-35",C891&lt;51,"36-50",C891&lt;66,"51-65",C891&gt;=66,"Above 65")</f>
        <v>18-35</v>
      </c>
      <c r="O891" s="6"/>
    </row>
    <row r="892" spans="1:15" x14ac:dyDescent="0.35">
      <c r="A892" t="s">
        <v>1583</v>
      </c>
      <c r="B892" t="s">
        <v>1584</v>
      </c>
      <c r="C892">
        <v>73</v>
      </c>
      <c r="D892" t="s">
        <v>12</v>
      </c>
      <c r="E892" s="5">
        <v>45801</v>
      </c>
      <c r="F892" s="5">
        <v>45814</v>
      </c>
      <c r="G892">
        <f t="shared" si="26"/>
        <v>13</v>
      </c>
      <c r="H892" t="s">
        <v>60</v>
      </c>
      <c r="I892" t="s">
        <v>133</v>
      </c>
      <c r="J892" s="2">
        <v>32658.41</v>
      </c>
      <c r="K892" s="6">
        <v>1</v>
      </c>
      <c r="L892" t="s">
        <v>15</v>
      </c>
      <c r="M892" s="3">
        <f t="shared" si="27"/>
        <v>32658.41</v>
      </c>
      <c r="N892" s="9" t="str" cm="1">
        <f t="array" ref="N892">_xlfn.IFS(C892&lt;18,"Under 18",C892&lt;36,"18-35",C892&lt;51,"36-50",C892&lt;66,"51-65",C892&gt;=66,"Above 65")</f>
        <v>Above 65</v>
      </c>
      <c r="O892" s="6"/>
    </row>
    <row r="893" spans="1:15" x14ac:dyDescent="0.35">
      <c r="A893" t="s">
        <v>1585</v>
      </c>
      <c r="B893" t="s">
        <v>1586</v>
      </c>
      <c r="C893">
        <v>53</v>
      </c>
      <c r="D893" t="s">
        <v>12</v>
      </c>
      <c r="E893" s="5">
        <v>45661</v>
      </c>
      <c r="F893" s="5">
        <v>45664</v>
      </c>
      <c r="G893">
        <f t="shared" si="26"/>
        <v>3</v>
      </c>
      <c r="H893" t="s">
        <v>23</v>
      </c>
      <c r="I893" t="s">
        <v>204</v>
      </c>
      <c r="J893" s="2">
        <v>4283.7</v>
      </c>
      <c r="K893" s="6">
        <v>0.7</v>
      </c>
      <c r="L893" t="s">
        <v>25</v>
      </c>
      <c r="M893" s="3">
        <f t="shared" si="27"/>
        <v>0</v>
      </c>
      <c r="N893" s="9" t="str" cm="1">
        <f t="array" ref="N893">_xlfn.IFS(C893&lt;18,"Under 18",C893&lt;36,"18-35",C893&lt;51,"36-50",C893&lt;66,"51-65",C893&gt;=66,"Above 65")</f>
        <v>51-65</v>
      </c>
      <c r="O893" s="6"/>
    </row>
    <row r="894" spans="1:15" x14ac:dyDescent="0.35">
      <c r="A894" t="s">
        <v>1587</v>
      </c>
      <c r="B894" t="s">
        <v>684</v>
      </c>
      <c r="C894">
        <v>52</v>
      </c>
      <c r="D894" t="s">
        <v>12</v>
      </c>
      <c r="E894" s="5">
        <v>45481</v>
      </c>
      <c r="F894" s="5">
        <v>45483</v>
      </c>
      <c r="G894">
        <f t="shared" si="26"/>
        <v>2</v>
      </c>
      <c r="H894" t="s">
        <v>60</v>
      </c>
      <c r="I894" t="s">
        <v>77</v>
      </c>
      <c r="J894" s="2">
        <v>5291.81</v>
      </c>
      <c r="K894" s="6">
        <v>0.5</v>
      </c>
      <c r="L894" t="s">
        <v>15</v>
      </c>
      <c r="M894" s="3">
        <f t="shared" si="27"/>
        <v>5291.81</v>
      </c>
      <c r="N894" s="9" t="str" cm="1">
        <f t="array" ref="N894">_xlfn.IFS(C894&lt;18,"Under 18",C894&lt;36,"18-35",C894&lt;51,"36-50",C894&lt;66,"51-65",C894&gt;=66,"Above 65")</f>
        <v>51-65</v>
      </c>
      <c r="O894" s="6"/>
    </row>
    <row r="895" spans="1:15" x14ac:dyDescent="0.35">
      <c r="A895" t="s">
        <v>1588</v>
      </c>
      <c r="B895" t="s">
        <v>1442</v>
      </c>
      <c r="C895">
        <v>80</v>
      </c>
      <c r="D895" t="s">
        <v>18</v>
      </c>
      <c r="E895" s="5">
        <v>45623</v>
      </c>
      <c r="F895" s="5">
        <v>45629</v>
      </c>
      <c r="G895">
        <f t="shared" si="26"/>
        <v>6</v>
      </c>
      <c r="H895" t="s">
        <v>31</v>
      </c>
      <c r="I895" t="s">
        <v>35</v>
      </c>
      <c r="J895" s="2">
        <v>3170.27</v>
      </c>
      <c r="K895" s="6">
        <v>0.9</v>
      </c>
      <c r="L895" t="s">
        <v>15</v>
      </c>
      <c r="M895" s="3">
        <f t="shared" si="27"/>
        <v>3170.27</v>
      </c>
      <c r="N895" s="9" t="str" cm="1">
        <f t="array" ref="N895">_xlfn.IFS(C895&lt;18,"Under 18",C895&lt;36,"18-35",C895&lt;51,"36-50",C895&lt;66,"51-65",C895&gt;=66,"Above 65")</f>
        <v>Above 65</v>
      </c>
      <c r="O895" s="6"/>
    </row>
    <row r="896" spans="1:15" x14ac:dyDescent="0.35">
      <c r="A896" t="s">
        <v>1589</v>
      </c>
      <c r="B896" t="s">
        <v>1590</v>
      </c>
      <c r="C896">
        <v>32</v>
      </c>
      <c r="D896" t="s">
        <v>12</v>
      </c>
      <c r="E896" s="5">
        <v>45518</v>
      </c>
      <c r="F896" s="5">
        <v>45525</v>
      </c>
      <c r="G896">
        <f t="shared" si="26"/>
        <v>7</v>
      </c>
      <c r="H896" t="s">
        <v>31</v>
      </c>
      <c r="I896" t="s">
        <v>114</v>
      </c>
      <c r="J896" s="2">
        <v>6978.9</v>
      </c>
      <c r="K896" s="6">
        <v>0.9</v>
      </c>
      <c r="L896" t="s">
        <v>20</v>
      </c>
      <c r="M896" s="3">
        <f t="shared" si="27"/>
        <v>0</v>
      </c>
      <c r="N896" s="9" t="str" cm="1">
        <f t="array" ref="N896">_xlfn.IFS(C896&lt;18,"Under 18",C896&lt;36,"18-35",C896&lt;51,"36-50",C896&lt;66,"51-65",C896&gt;=66,"Above 65")</f>
        <v>18-35</v>
      </c>
      <c r="O896" s="6"/>
    </row>
    <row r="897" spans="1:15" x14ac:dyDescent="0.35">
      <c r="A897" t="s">
        <v>1591</v>
      </c>
      <c r="B897" t="s">
        <v>1163</v>
      </c>
      <c r="C897">
        <v>63</v>
      </c>
      <c r="D897" t="s">
        <v>18</v>
      </c>
      <c r="E897" s="5">
        <v>45527</v>
      </c>
      <c r="F897" s="5">
        <v>45533</v>
      </c>
      <c r="G897">
        <f t="shared" si="26"/>
        <v>6</v>
      </c>
      <c r="H897" t="s">
        <v>31</v>
      </c>
      <c r="I897" t="s">
        <v>87</v>
      </c>
      <c r="J897" s="2">
        <v>4868.46</v>
      </c>
      <c r="K897" s="6">
        <v>0.8</v>
      </c>
      <c r="L897" t="s">
        <v>15</v>
      </c>
      <c r="M897" s="3">
        <f t="shared" si="27"/>
        <v>4868.46</v>
      </c>
      <c r="N897" s="9" t="str" cm="1">
        <f t="array" ref="N897">_xlfn.IFS(C897&lt;18,"Under 18",C897&lt;36,"18-35",C897&lt;51,"36-50",C897&lt;66,"51-65",C897&gt;=66,"Above 65")</f>
        <v>51-65</v>
      </c>
      <c r="O897" s="6"/>
    </row>
    <row r="898" spans="1:15" x14ac:dyDescent="0.35">
      <c r="A898" t="s">
        <v>1592</v>
      </c>
      <c r="B898" t="s">
        <v>573</v>
      </c>
      <c r="C898">
        <v>58</v>
      </c>
      <c r="D898" t="s">
        <v>12</v>
      </c>
      <c r="E898" s="5">
        <v>45833</v>
      </c>
      <c r="F898" s="5">
        <v>45847</v>
      </c>
      <c r="G898">
        <f t="shared" si="26"/>
        <v>14</v>
      </c>
      <c r="H898" t="s">
        <v>60</v>
      </c>
      <c r="I898" t="s">
        <v>61</v>
      </c>
      <c r="J898" s="2">
        <v>34197.050000000003</v>
      </c>
      <c r="K898" s="6">
        <v>0.8</v>
      </c>
      <c r="L898" t="s">
        <v>15</v>
      </c>
      <c r="M898" s="3">
        <f t="shared" si="27"/>
        <v>34197.050000000003</v>
      </c>
      <c r="N898" s="9" t="str" cm="1">
        <f t="array" ref="N898">_xlfn.IFS(C898&lt;18,"Under 18",C898&lt;36,"18-35",C898&lt;51,"36-50",C898&lt;66,"51-65",C898&gt;=66,"Above 65")</f>
        <v>51-65</v>
      </c>
      <c r="O898" s="6"/>
    </row>
    <row r="899" spans="1:15" x14ac:dyDescent="0.35">
      <c r="A899" t="s">
        <v>1593</v>
      </c>
      <c r="B899" t="s">
        <v>1594</v>
      </c>
      <c r="C899">
        <v>60</v>
      </c>
      <c r="D899" t="s">
        <v>18</v>
      </c>
      <c r="E899" s="5">
        <v>45331</v>
      </c>
      <c r="F899" s="5">
        <v>45332</v>
      </c>
      <c r="G899">
        <f t="shared" ref="G899:G962" si="28">DATEDIF(E899,F899,"D")</f>
        <v>1</v>
      </c>
      <c r="H899" t="s">
        <v>31</v>
      </c>
      <c r="I899" t="s">
        <v>114</v>
      </c>
      <c r="J899" s="2">
        <v>647.75</v>
      </c>
      <c r="K899" s="6">
        <v>0.8</v>
      </c>
      <c r="L899" t="s">
        <v>15</v>
      </c>
      <c r="M899" s="3">
        <f t="shared" ref="M899:M962" si="29">IF(L899 = "Paid",J899,0)</f>
        <v>647.75</v>
      </c>
      <c r="N899" s="9" t="str" cm="1">
        <f t="array" ref="N899">_xlfn.IFS(C899&lt;18,"Under 18",C899&lt;36,"18-35",C899&lt;51,"36-50",C899&lt;66,"51-65",C899&gt;=66,"Above 65")</f>
        <v>51-65</v>
      </c>
      <c r="O899" s="6"/>
    </row>
    <row r="900" spans="1:15" x14ac:dyDescent="0.35">
      <c r="A900" t="s">
        <v>1595</v>
      </c>
      <c r="B900" t="s">
        <v>1596</v>
      </c>
      <c r="C900">
        <v>5</v>
      </c>
      <c r="D900" t="s">
        <v>18</v>
      </c>
      <c r="E900" s="5">
        <v>45461</v>
      </c>
      <c r="F900" s="5">
        <v>45466</v>
      </c>
      <c r="G900">
        <f t="shared" si="28"/>
        <v>5</v>
      </c>
      <c r="H900" t="s">
        <v>49</v>
      </c>
      <c r="I900" t="s">
        <v>123</v>
      </c>
      <c r="J900" s="2">
        <v>3913.66</v>
      </c>
      <c r="K900" s="6">
        <v>0.9</v>
      </c>
      <c r="L900" t="s">
        <v>20</v>
      </c>
      <c r="M900" s="3">
        <f t="shared" si="29"/>
        <v>0</v>
      </c>
      <c r="N900" s="9" t="str" cm="1">
        <f t="array" ref="N900">_xlfn.IFS(C900&lt;18,"Under 18",C900&lt;36,"18-35",C900&lt;51,"36-50",C900&lt;66,"51-65",C900&gt;=66,"Above 65")</f>
        <v>Under 18</v>
      </c>
      <c r="O900" s="6"/>
    </row>
    <row r="901" spans="1:15" x14ac:dyDescent="0.35">
      <c r="A901" t="s">
        <v>1597</v>
      </c>
      <c r="B901" t="s">
        <v>474</v>
      </c>
      <c r="C901">
        <v>8</v>
      </c>
      <c r="D901" t="s">
        <v>12</v>
      </c>
      <c r="E901" s="5">
        <v>45717</v>
      </c>
      <c r="F901" s="5">
        <v>45722</v>
      </c>
      <c r="G901">
        <f t="shared" si="28"/>
        <v>5</v>
      </c>
      <c r="H901" t="s">
        <v>49</v>
      </c>
      <c r="I901" t="s">
        <v>120</v>
      </c>
      <c r="J901" s="2">
        <v>8364.6200000000008</v>
      </c>
      <c r="K901" s="6">
        <v>1</v>
      </c>
      <c r="L901" t="s">
        <v>15</v>
      </c>
      <c r="M901" s="3">
        <f t="shared" si="29"/>
        <v>8364.6200000000008</v>
      </c>
      <c r="N901" s="9" t="str" cm="1">
        <f t="array" ref="N901">_xlfn.IFS(C901&lt;18,"Under 18",C901&lt;36,"18-35",C901&lt;51,"36-50",C901&lt;66,"51-65",C901&gt;=66,"Above 65")</f>
        <v>Under 18</v>
      </c>
      <c r="O901" s="6"/>
    </row>
    <row r="902" spans="1:15" x14ac:dyDescent="0.35">
      <c r="A902" t="s">
        <v>1598</v>
      </c>
      <c r="B902" t="s">
        <v>1599</v>
      </c>
      <c r="C902">
        <v>8</v>
      </c>
      <c r="D902" t="s">
        <v>18</v>
      </c>
      <c r="E902" s="5">
        <v>45991</v>
      </c>
      <c r="F902" s="5">
        <v>45992</v>
      </c>
      <c r="G902">
        <f t="shared" si="28"/>
        <v>1</v>
      </c>
      <c r="H902" t="s">
        <v>49</v>
      </c>
      <c r="I902" t="s">
        <v>123</v>
      </c>
      <c r="J902" s="2">
        <v>750.94</v>
      </c>
      <c r="K902" s="6">
        <v>0.6</v>
      </c>
      <c r="L902" t="s">
        <v>20</v>
      </c>
      <c r="M902" s="3">
        <f t="shared" si="29"/>
        <v>0</v>
      </c>
      <c r="N902" s="9" t="str" cm="1">
        <f t="array" ref="N902">_xlfn.IFS(C902&lt;18,"Under 18",C902&lt;36,"18-35",C902&lt;51,"36-50",C902&lt;66,"51-65",C902&gt;=66,"Above 65")</f>
        <v>Under 18</v>
      </c>
      <c r="O902" s="6"/>
    </row>
    <row r="903" spans="1:15" x14ac:dyDescent="0.35">
      <c r="A903" t="s">
        <v>1600</v>
      </c>
      <c r="B903" t="s">
        <v>106</v>
      </c>
      <c r="C903">
        <v>21</v>
      </c>
      <c r="D903" t="s">
        <v>18</v>
      </c>
      <c r="E903" s="5">
        <v>45915</v>
      </c>
      <c r="F903" s="5">
        <v>45916</v>
      </c>
      <c r="G903">
        <f t="shared" si="28"/>
        <v>1</v>
      </c>
      <c r="H903" t="s">
        <v>23</v>
      </c>
      <c r="I903" t="s">
        <v>204</v>
      </c>
      <c r="J903" s="2">
        <v>1602.23</v>
      </c>
      <c r="K903" s="6">
        <v>0.9</v>
      </c>
      <c r="L903" t="s">
        <v>15</v>
      </c>
      <c r="M903" s="3">
        <f t="shared" si="29"/>
        <v>1602.23</v>
      </c>
      <c r="N903" s="9" t="str" cm="1">
        <f t="array" ref="N903">_xlfn.IFS(C903&lt;18,"Under 18",C903&lt;36,"18-35",C903&lt;51,"36-50",C903&lt;66,"51-65",C903&gt;=66,"Above 65")</f>
        <v>18-35</v>
      </c>
      <c r="O903" s="6"/>
    </row>
    <row r="904" spans="1:15" x14ac:dyDescent="0.35">
      <c r="A904" t="s">
        <v>1601</v>
      </c>
      <c r="B904" t="s">
        <v>1602</v>
      </c>
      <c r="C904">
        <v>26</v>
      </c>
      <c r="D904" t="s">
        <v>12</v>
      </c>
      <c r="E904" s="5">
        <v>46019</v>
      </c>
      <c r="F904" s="5">
        <v>46022</v>
      </c>
      <c r="G904">
        <f t="shared" si="28"/>
        <v>3</v>
      </c>
      <c r="H904" t="s">
        <v>60</v>
      </c>
      <c r="I904" t="s">
        <v>77</v>
      </c>
      <c r="J904" s="2">
        <v>3905.3</v>
      </c>
      <c r="K904" s="6">
        <v>0.8</v>
      </c>
      <c r="L904" t="s">
        <v>20</v>
      </c>
      <c r="M904" s="3">
        <f t="shared" si="29"/>
        <v>0</v>
      </c>
      <c r="N904" s="9" t="str" cm="1">
        <f t="array" ref="N904">_xlfn.IFS(C904&lt;18,"Under 18",C904&lt;36,"18-35",C904&lt;51,"36-50",C904&lt;66,"51-65",C904&gt;=66,"Above 65")</f>
        <v>18-35</v>
      </c>
      <c r="O904" s="6"/>
    </row>
    <row r="905" spans="1:15" x14ac:dyDescent="0.35">
      <c r="A905" t="s">
        <v>1603</v>
      </c>
      <c r="B905" t="s">
        <v>624</v>
      </c>
      <c r="C905">
        <v>56</v>
      </c>
      <c r="D905" t="s">
        <v>12</v>
      </c>
      <c r="E905" s="5">
        <v>45716</v>
      </c>
      <c r="F905" s="5">
        <v>45720</v>
      </c>
      <c r="G905">
        <f t="shared" si="28"/>
        <v>4</v>
      </c>
      <c r="H905" t="s">
        <v>13</v>
      </c>
      <c r="I905" t="s">
        <v>38</v>
      </c>
      <c r="J905" s="2">
        <v>10882.46</v>
      </c>
      <c r="K905" s="6">
        <v>0</v>
      </c>
      <c r="L905" t="s">
        <v>25</v>
      </c>
      <c r="M905" s="3">
        <f t="shared" si="29"/>
        <v>0</v>
      </c>
      <c r="N905" s="9" t="str" cm="1">
        <f t="array" ref="N905">_xlfn.IFS(C905&lt;18,"Under 18",C905&lt;36,"18-35",C905&lt;51,"36-50",C905&lt;66,"51-65",C905&gt;=66,"Above 65")</f>
        <v>51-65</v>
      </c>
      <c r="O905" s="6"/>
    </row>
    <row r="906" spans="1:15" x14ac:dyDescent="0.35">
      <c r="A906" t="s">
        <v>1604</v>
      </c>
      <c r="B906" t="s">
        <v>1605</v>
      </c>
      <c r="C906">
        <v>40</v>
      </c>
      <c r="D906" t="s">
        <v>18</v>
      </c>
      <c r="E906" s="5">
        <v>45992</v>
      </c>
      <c r="F906" s="5">
        <v>45996</v>
      </c>
      <c r="G906">
        <f t="shared" si="28"/>
        <v>4</v>
      </c>
      <c r="H906" t="s">
        <v>31</v>
      </c>
      <c r="I906" t="s">
        <v>53</v>
      </c>
      <c r="J906" s="2">
        <v>3645.87</v>
      </c>
      <c r="K906" s="6">
        <v>0.7</v>
      </c>
      <c r="L906" t="s">
        <v>20</v>
      </c>
      <c r="M906" s="3">
        <f t="shared" si="29"/>
        <v>0</v>
      </c>
      <c r="N906" s="9" t="str" cm="1">
        <f t="array" ref="N906">_xlfn.IFS(C906&lt;18,"Under 18",C906&lt;36,"18-35",C906&lt;51,"36-50",C906&lt;66,"51-65",C906&gt;=66,"Above 65")</f>
        <v>36-50</v>
      </c>
      <c r="O906" s="6"/>
    </row>
    <row r="907" spans="1:15" x14ac:dyDescent="0.35">
      <c r="A907" t="s">
        <v>1606</v>
      </c>
      <c r="B907" t="s">
        <v>1607</v>
      </c>
      <c r="C907">
        <v>40</v>
      </c>
      <c r="D907" t="s">
        <v>18</v>
      </c>
      <c r="E907" s="5">
        <v>45754</v>
      </c>
      <c r="F907" s="5">
        <v>45760</v>
      </c>
      <c r="G907">
        <f t="shared" si="28"/>
        <v>6</v>
      </c>
      <c r="H907" t="s">
        <v>31</v>
      </c>
      <c r="I907" t="s">
        <v>234</v>
      </c>
      <c r="J907" s="2">
        <v>5871.8</v>
      </c>
      <c r="K907" s="6">
        <v>0.9</v>
      </c>
      <c r="L907" t="s">
        <v>25</v>
      </c>
      <c r="M907" s="3">
        <f t="shared" si="29"/>
        <v>0</v>
      </c>
      <c r="N907" s="9" t="str" cm="1">
        <f t="array" ref="N907">_xlfn.IFS(C907&lt;18,"Under 18",C907&lt;36,"18-35",C907&lt;51,"36-50",C907&lt;66,"51-65",C907&gt;=66,"Above 65")</f>
        <v>36-50</v>
      </c>
      <c r="O907" s="6"/>
    </row>
    <row r="908" spans="1:15" x14ac:dyDescent="0.35">
      <c r="A908" t="s">
        <v>1608</v>
      </c>
      <c r="B908" t="s">
        <v>750</v>
      </c>
      <c r="C908">
        <v>34</v>
      </c>
      <c r="D908" t="s">
        <v>18</v>
      </c>
      <c r="E908" s="5">
        <v>45326</v>
      </c>
      <c r="F908" s="5">
        <v>45329</v>
      </c>
      <c r="G908">
        <f t="shared" si="28"/>
        <v>3</v>
      </c>
      <c r="H908" t="s">
        <v>31</v>
      </c>
      <c r="I908" t="s">
        <v>114</v>
      </c>
      <c r="J908" s="2">
        <v>2527.5100000000002</v>
      </c>
      <c r="K908" s="6">
        <v>0.6</v>
      </c>
      <c r="L908" t="s">
        <v>20</v>
      </c>
      <c r="M908" s="3">
        <f t="shared" si="29"/>
        <v>0</v>
      </c>
      <c r="N908" s="9" t="str" cm="1">
        <f t="array" ref="N908">_xlfn.IFS(C908&lt;18,"Under 18",C908&lt;36,"18-35",C908&lt;51,"36-50",C908&lt;66,"51-65",C908&gt;=66,"Above 65")</f>
        <v>18-35</v>
      </c>
      <c r="O908" s="6"/>
    </row>
    <row r="909" spans="1:15" x14ac:dyDescent="0.35">
      <c r="A909" t="s">
        <v>1609</v>
      </c>
      <c r="B909" t="s">
        <v>229</v>
      </c>
      <c r="C909">
        <v>40</v>
      </c>
      <c r="D909" t="s">
        <v>18</v>
      </c>
      <c r="E909" s="5">
        <v>45518</v>
      </c>
      <c r="F909" s="5">
        <v>45524</v>
      </c>
      <c r="G909">
        <f t="shared" si="28"/>
        <v>6</v>
      </c>
      <c r="H909" t="s">
        <v>13</v>
      </c>
      <c r="I909" t="s">
        <v>14</v>
      </c>
      <c r="J909" s="2">
        <v>11311.32</v>
      </c>
      <c r="K909" s="6">
        <v>1</v>
      </c>
      <c r="L909" t="s">
        <v>20</v>
      </c>
      <c r="M909" s="3">
        <f t="shared" si="29"/>
        <v>0</v>
      </c>
      <c r="N909" s="9" t="str" cm="1">
        <f t="array" ref="N909">_xlfn.IFS(C909&lt;18,"Under 18",C909&lt;36,"18-35",C909&lt;51,"36-50",C909&lt;66,"51-65",C909&gt;=66,"Above 65")</f>
        <v>36-50</v>
      </c>
      <c r="O909" s="6"/>
    </row>
    <row r="910" spans="1:15" x14ac:dyDescent="0.35">
      <c r="A910" t="s">
        <v>1610</v>
      </c>
      <c r="B910" t="s">
        <v>1611</v>
      </c>
      <c r="C910">
        <v>35</v>
      </c>
      <c r="D910" t="s">
        <v>12</v>
      </c>
      <c r="E910" s="5">
        <v>45447</v>
      </c>
      <c r="F910" s="5">
        <v>45453</v>
      </c>
      <c r="G910">
        <f t="shared" si="28"/>
        <v>6</v>
      </c>
      <c r="H910" t="s">
        <v>60</v>
      </c>
      <c r="I910" t="s">
        <v>133</v>
      </c>
      <c r="J910" s="2">
        <v>14294.04</v>
      </c>
      <c r="K910" s="6">
        <v>0.8</v>
      </c>
      <c r="L910" t="s">
        <v>15</v>
      </c>
      <c r="M910" s="3">
        <f t="shared" si="29"/>
        <v>14294.04</v>
      </c>
      <c r="N910" s="9" t="str" cm="1">
        <f t="array" ref="N910">_xlfn.IFS(C910&lt;18,"Under 18",C910&lt;36,"18-35",C910&lt;51,"36-50",C910&lt;66,"51-65",C910&gt;=66,"Above 65")</f>
        <v>18-35</v>
      </c>
      <c r="O910" s="6"/>
    </row>
    <row r="911" spans="1:15" x14ac:dyDescent="0.35">
      <c r="A911" t="s">
        <v>1612</v>
      </c>
      <c r="B911" t="s">
        <v>1613</v>
      </c>
      <c r="C911">
        <v>15</v>
      </c>
      <c r="D911" t="s">
        <v>18</v>
      </c>
      <c r="E911" s="5">
        <v>45831</v>
      </c>
      <c r="F911" s="5">
        <v>45833</v>
      </c>
      <c r="G911">
        <f t="shared" si="28"/>
        <v>2</v>
      </c>
      <c r="H911" t="s">
        <v>49</v>
      </c>
      <c r="I911" t="s">
        <v>120</v>
      </c>
      <c r="J911" s="2">
        <v>3325.48</v>
      </c>
      <c r="K911" s="6">
        <v>0.6</v>
      </c>
      <c r="L911" t="s">
        <v>15</v>
      </c>
      <c r="M911" s="3">
        <f t="shared" si="29"/>
        <v>3325.48</v>
      </c>
      <c r="N911" s="9" t="str" cm="1">
        <f t="array" ref="N911">_xlfn.IFS(C911&lt;18,"Under 18",C911&lt;36,"18-35",C911&lt;51,"36-50",C911&lt;66,"51-65",C911&gt;=66,"Above 65")</f>
        <v>Under 18</v>
      </c>
      <c r="O911" s="6"/>
    </row>
    <row r="912" spans="1:15" x14ac:dyDescent="0.35">
      <c r="A912" t="s">
        <v>1614</v>
      </c>
      <c r="B912" t="s">
        <v>1611</v>
      </c>
      <c r="C912">
        <v>84</v>
      </c>
      <c r="D912" t="s">
        <v>12</v>
      </c>
      <c r="E912" s="5">
        <v>46011</v>
      </c>
      <c r="F912" s="5">
        <v>46012</v>
      </c>
      <c r="G912">
        <f t="shared" si="28"/>
        <v>1</v>
      </c>
      <c r="H912" t="s">
        <v>31</v>
      </c>
      <c r="I912" t="s">
        <v>44</v>
      </c>
      <c r="J912" s="2">
        <v>583.35</v>
      </c>
      <c r="K912" s="6">
        <v>0.5</v>
      </c>
      <c r="L912" t="s">
        <v>25</v>
      </c>
      <c r="M912" s="3">
        <f t="shared" si="29"/>
        <v>0</v>
      </c>
      <c r="N912" s="9" t="str" cm="1">
        <f t="array" ref="N912">_xlfn.IFS(C912&lt;18,"Under 18",C912&lt;36,"18-35",C912&lt;51,"36-50",C912&lt;66,"51-65",C912&gt;=66,"Above 65")</f>
        <v>Above 65</v>
      </c>
      <c r="O912" s="6"/>
    </row>
    <row r="913" spans="1:15" x14ac:dyDescent="0.35">
      <c r="A913" t="s">
        <v>1615</v>
      </c>
      <c r="B913" t="s">
        <v>950</v>
      </c>
      <c r="C913">
        <v>54</v>
      </c>
      <c r="D913" t="s">
        <v>12</v>
      </c>
      <c r="E913" s="5">
        <v>45322</v>
      </c>
      <c r="F913" s="5">
        <v>45328</v>
      </c>
      <c r="G913">
        <f t="shared" si="28"/>
        <v>6</v>
      </c>
      <c r="H913" t="s">
        <v>31</v>
      </c>
      <c r="I913" t="s">
        <v>234</v>
      </c>
      <c r="J913" s="2">
        <v>6644.98</v>
      </c>
      <c r="K913" s="6">
        <v>0.9</v>
      </c>
      <c r="L913" t="s">
        <v>15</v>
      </c>
      <c r="M913" s="3">
        <f t="shared" si="29"/>
        <v>6644.98</v>
      </c>
      <c r="N913" s="9" t="str" cm="1">
        <f t="array" ref="N913">_xlfn.IFS(C913&lt;18,"Under 18",C913&lt;36,"18-35",C913&lt;51,"36-50",C913&lt;66,"51-65",C913&gt;=66,"Above 65")</f>
        <v>51-65</v>
      </c>
      <c r="O913" s="6"/>
    </row>
    <row r="914" spans="1:15" x14ac:dyDescent="0.35">
      <c r="A914" t="s">
        <v>1616</v>
      </c>
      <c r="B914" t="s">
        <v>65</v>
      </c>
      <c r="C914">
        <v>75</v>
      </c>
      <c r="D914" t="s">
        <v>12</v>
      </c>
      <c r="E914" s="5">
        <v>45840</v>
      </c>
      <c r="F914" s="5">
        <v>45844</v>
      </c>
      <c r="G914">
        <f t="shared" si="28"/>
        <v>4</v>
      </c>
      <c r="H914" t="s">
        <v>60</v>
      </c>
      <c r="I914" t="s">
        <v>61</v>
      </c>
      <c r="J914" s="2">
        <v>6709.11</v>
      </c>
      <c r="K914" s="6">
        <v>0.8</v>
      </c>
      <c r="L914" t="s">
        <v>25</v>
      </c>
      <c r="M914" s="3">
        <f t="shared" si="29"/>
        <v>0</v>
      </c>
      <c r="N914" s="9" t="str" cm="1">
        <f t="array" ref="N914">_xlfn.IFS(C914&lt;18,"Under 18",C914&lt;36,"18-35",C914&lt;51,"36-50",C914&lt;66,"51-65",C914&gt;=66,"Above 65")</f>
        <v>Above 65</v>
      </c>
      <c r="O914" s="6"/>
    </row>
    <row r="915" spans="1:15" x14ac:dyDescent="0.35">
      <c r="A915" t="s">
        <v>1617</v>
      </c>
      <c r="B915" t="s">
        <v>1288</v>
      </c>
      <c r="C915">
        <v>32</v>
      </c>
      <c r="D915" t="s">
        <v>12</v>
      </c>
      <c r="E915" s="5">
        <v>45385</v>
      </c>
      <c r="F915" s="5">
        <v>45389</v>
      </c>
      <c r="G915">
        <f t="shared" si="28"/>
        <v>4</v>
      </c>
      <c r="H915" t="s">
        <v>70</v>
      </c>
      <c r="I915" t="s">
        <v>157</v>
      </c>
      <c r="J915" s="2">
        <v>7216.27</v>
      </c>
      <c r="K915" s="6">
        <v>0.8</v>
      </c>
      <c r="L915" t="s">
        <v>20</v>
      </c>
      <c r="M915" s="3">
        <f t="shared" si="29"/>
        <v>0</v>
      </c>
      <c r="N915" s="9" t="str" cm="1">
        <f t="array" ref="N915">_xlfn.IFS(C915&lt;18,"Under 18",C915&lt;36,"18-35",C915&lt;51,"36-50",C915&lt;66,"51-65",C915&gt;=66,"Above 65")</f>
        <v>18-35</v>
      </c>
      <c r="O915" s="6"/>
    </row>
    <row r="916" spans="1:15" x14ac:dyDescent="0.35">
      <c r="A916" t="s">
        <v>1618</v>
      </c>
      <c r="B916" t="s">
        <v>1619</v>
      </c>
      <c r="C916">
        <v>45</v>
      </c>
      <c r="D916" t="s">
        <v>12</v>
      </c>
      <c r="E916" s="5">
        <v>45737</v>
      </c>
      <c r="F916" s="5">
        <v>45746</v>
      </c>
      <c r="G916">
        <f t="shared" si="28"/>
        <v>9</v>
      </c>
      <c r="H916" t="s">
        <v>70</v>
      </c>
      <c r="I916" t="s">
        <v>237</v>
      </c>
      <c r="J916" s="2">
        <v>13906.96</v>
      </c>
      <c r="K916" s="6">
        <v>0.8</v>
      </c>
      <c r="L916" t="s">
        <v>15</v>
      </c>
      <c r="M916" s="3">
        <f t="shared" si="29"/>
        <v>13906.96</v>
      </c>
      <c r="N916" s="9" t="str" cm="1">
        <f t="array" ref="N916">_xlfn.IFS(C916&lt;18,"Under 18",C916&lt;36,"18-35",C916&lt;51,"36-50",C916&lt;66,"51-65",C916&gt;=66,"Above 65")</f>
        <v>36-50</v>
      </c>
      <c r="O916" s="6"/>
    </row>
    <row r="917" spans="1:15" x14ac:dyDescent="0.35">
      <c r="A917" t="s">
        <v>1620</v>
      </c>
      <c r="B917" t="s">
        <v>1621</v>
      </c>
      <c r="C917">
        <v>68</v>
      </c>
      <c r="D917" t="s">
        <v>12</v>
      </c>
      <c r="E917" s="5">
        <v>45878</v>
      </c>
      <c r="F917" s="5">
        <v>45888</v>
      </c>
      <c r="G917">
        <f t="shared" si="28"/>
        <v>10</v>
      </c>
      <c r="H917" t="s">
        <v>60</v>
      </c>
      <c r="I917" t="s">
        <v>97</v>
      </c>
      <c r="J917" s="2">
        <v>19370.95</v>
      </c>
      <c r="K917" s="6">
        <v>0.7</v>
      </c>
      <c r="L917" t="s">
        <v>20</v>
      </c>
      <c r="M917" s="3">
        <f t="shared" si="29"/>
        <v>0</v>
      </c>
      <c r="N917" s="9" t="str" cm="1">
        <f t="array" ref="N917">_xlfn.IFS(C917&lt;18,"Under 18",C917&lt;36,"18-35",C917&lt;51,"36-50",C917&lt;66,"51-65",C917&gt;=66,"Above 65")</f>
        <v>Above 65</v>
      </c>
      <c r="O917" s="6"/>
    </row>
    <row r="918" spans="1:15" x14ac:dyDescent="0.35">
      <c r="A918" t="s">
        <v>1622</v>
      </c>
      <c r="B918" t="s">
        <v>1623</v>
      </c>
      <c r="C918">
        <v>42</v>
      </c>
      <c r="D918" t="s">
        <v>18</v>
      </c>
      <c r="E918" s="5">
        <v>45452</v>
      </c>
      <c r="F918" s="5">
        <v>45459</v>
      </c>
      <c r="G918">
        <f t="shared" si="28"/>
        <v>7</v>
      </c>
      <c r="H918" t="s">
        <v>31</v>
      </c>
      <c r="I918" t="s">
        <v>53</v>
      </c>
      <c r="J918" s="2">
        <v>4618.17</v>
      </c>
      <c r="K918" s="6">
        <v>0.5</v>
      </c>
      <c r="L918" t="s">
        <v>25</v>
      </c>
      <c r="M918" s="3">
        <f t="shared" si="29"/>
        <v>0</v>
      </c>
      <c r="N918" s="9" t="str" cm="1">
        <f t="array" ref="N918">_xlfn.IFS(C918&lt;18,"Under 18",C918&lt;36,"18-35",C918&lt;51,"36-50",C918&lt;66,"51-65",C918&gt;=66,"Above 65")</f>
        <v>36-50</v>
      </c>
      <c r="O918" s="6"/>
    </row>
    <row r="919" spans="1:15" x14ac:dyDescent="0.35">
      <c r="A919" t="s">
        <v>1624</v>
      </c>
      <c r="B919" t="s">
        <v>1128</v>
      </c>
      <c r="C919">
        <v>35</v>
      </c>
      <c r="D919" t="s">
        <v>12</v>
      </c>
      <c r="E919" s="5">
        <v>45661</v>
      </c>
      <c r="F919" s="5">
        <v>45664</v>
      </c>
      <c r="G919">
        <f t="shared" si="28"/>
        <v>3</v>
      </c>
      <c r="H919" t="s">
        <v>31</v>
      </c>
      <c r="I919" t="s">
        <v>53</v>
      </c>
      <c r="J919" s="2">
        <v>4249.75</v>
      </c>
      <c r="K919" s="6">
        <v>0.7</v>
      </c>
      <c r="L919" t="s">
        <v>25</v>
      </c>
      <c r="M919" s="3">
        <f t="shared" si="29"/>
        <v>0</v>
      </c>
      <c r="N919" s="9" t="str" cm="1">
        <f t="array" ref="N919">_xlfn.IFS(C919&lt;18,"Under 18",C919&lt;36,"18-35",C919&lt;51,"36-50",C919&lt;66,"51-65",C919&gt;=66,"Above 65")</f>
        <v>18-35</v>
      </c>
      <c r="O919" s="6"/>
    </row>
    <row r="920" spans="1:15" x14ac:dyDescent="0.35">
      <c r="A920" t="s">
        <v>1625</v>
      </c>
      <c r="B920" t="s">
        <v>592</v>
      </c>
      <c r="C920">
        <v>60</v>
      </c>
      <c r="D920" t="s">
        <v>12</v>
      </c>
      <c r="E920" s="5">
        <v>45293</v>
      </c>
      <c r="F920" s="5">
        <v>45297</v>
      </c>
      <c r="G920">
        <f t="shared" si="28"/>
        <v>4</v>
      </c>
      <c r="H920" t="s">
        <v>13</v>
      </c>
      <c r="I920" t="s">
        <v>14</v>
      </c>
      <c r="J920" s="2">
        <v>6532.53</v>
      </c>
      <c r="K920" s="6">
        <v>0.8</v>
      </c>
      <c r="L920" t="s">
        <v>25</v>
      </c>
      <c r="M920" s="3">
        <f t="shared" si="29"/>
        <v>0</v>
      </c>
      <c r="N920" s="9" t="str" cm="1">
        <f t="array" ref="N920">_xlfn.IFS(C920&lt;18,"Under 18",C920&lt;36,"18-35",C920&lt;51,"36-50",C920&lt;66,"51-65",C920&gt;=66,"Above 65")</f>
        <v>51-65</v>
      </c>
      <c r="O920" s="6"/>
    </row>
    <row r="921" spans="1:15" x14ac:dyDescent="0.35">
      <c r="A921" t="s">
        <v>1626</v>
      </c>
      <c r="B921" t="s">
        <v>814</v>
      </c>
      <c r="C921">
        <v>60</v>
      </c>
      <c r="D921" t="s">
        <v>18</v>
      </c>
      <c r="E921" s="5">
        <v>45628</v>
      </c>
      <c r="F921" s="5">
        <v>45633</v>
      </c>
      <c r="G921">
        <f t="shared" si="28"/>
        <v>5</v>
      </c>
      <c r="H921" t="s">
        <v>70</v>
      </c>
      <c r="I921" t="s">
        <v>295</v>
      </c>
      <c r="J921" s="2">
        <v>5729.57</v>
      </c>
      <c r="K921" s="6">
        <v>0.6</v>
      </c>
      <c r="L921" t="s">
        <v>15</v>
      </c>
      <c r="M921" s="3">
        <f t="shared" si="29"/>
        <v>5729.57</v>
      </c>
      <c r="N921" s="9" t="str" cm="1">
        <f t="array" ref="N921">_xlfn.IFS(C921&lt;18,"Under 18",C921&lt;36,"18-35",C921&lt;51,"36-50",C921&lt;66,"51-65",C921&gt;=66,"Above 65")</f>
        <v>51-65</v>
      </c>
      <c r="O921" s="6"/>
    </row>
    <row r="922" spans="1:15" x14ac:dyDescent="0.35">
      <c r="A922" t="s">
        <v>1627</v>
      </c>
      <c r="B922" t="s">
        <v>63</v>
      </c>
      <c r="C922">
        <v>21</v>
      </c>
      <c r="D922" t="s">
        <v>18</v>
      </c>
      <c r="E922" s="5">
        <v>45813</v>
      </c>
      <c r="F922" s="5">
        <v>45815</v>
      </c>
      <c r="G922">
        <f t="shared" si="28"/>
        <v>2</v>
      </c>
      <c r="H922" t="s">
        <v>31</v>
      </c>
      <c r="I922" t="s">
        <v>87</v>
      </c>
      <c r="J922" s="2">
        <v>2997.87</v>
      </c>
      <c r="K922" s="6">
        <v>0.7</v>
      </c>
      <c r="L922" t="s">
        <v>15</v>
      </c>
      <c r="M922" s="3">
        <f t="shared" si="29"/>
        <v>2997.87</v>
      </c>
      <c r="N922" s="9" t="str" cm="1">
        <f t="array" ref="N922">_xlfn.IFS(C922&lt;18,"Under 18",C922&lt;36,"18-35",C922&lt;51,"36-50",C922&lt;66,"51-65",C922&gt;=66,"Above 65")</f>
        <v>18-35</v>
      </c>
      <c r="O922" s="6"/>
    </row>
    <row r="923" spans="1:15" x14ac:dyDescent="0.35">
      <c r="A923" t="s">
        <v>1628</v>
      </c>
      <c r="B923" t="s">
        <v>719</v>
      </c>
      <c r="C923">
        <v>54</v>
      </c>
      <c r="D923" t="s">
        <v>12</v>
      </c>
      <c r="E923" s="5">
        <v>45594</v>
      </c>
      <c r="F923" s="5">
        <v>45600</v>
      </c>
      <c r="G923">
        <f t="shared" si="28"/>
        <v>6</v>
      </c>
      <c r="H923" t="s">
        <v>31</v>
      </c>
      <c r="I923" t="s">
        <v>53</v>
      </c>
      <c r="J923" s="2">
        <v>7526.27</v>
      </c>
      <c r="K923" s="6">
        <v>0.8</v>
      </c>
      <c r="L923" t="s">
        <v>15</v>
      </c>
      <c r="M923" s="3">
        <f t="shared" si="29"/>
        <v>7526.27</v>
      </c>
      <c r="N923" s="9" t="str" cm="1">
        <f t="array" ref="N923">_xlfn.IFS(C923&lt;18,"Under 18",C923&lt;36,"18-35",C923&lt;51,"36-50",C923&lt;66,"51-65",C923&gt;=66,"Above 65")</f>
        <v>51-65</v>
      </c>
      <c r="O923" s="6"/>
    </row>
    <row r="924" spans="1:15" x14ac:dyDescent="0.35">
      <c r="A924" t="s">
        <v>1629</v>
      </c>
      <c r="B924" t="s">
        <v>1630</v>
      </c>
      <c r="C924">
        <v>29</v>
      </c>
      <c r="D924" t="s">
        <v>18</v>
      </c>
      <c r="E924" s="5">
        <v>45460</v>
      </c>
      <c r="F924" s="5">
        <v>45462</v>
      </c>
      <c r="G924">
        <f t="shared" si="28"/>
        <v>2</v>
      </c>
      <c r="H924" t="s">
        <v>23</v>
      </c>
      <c r="I924" t="s">
        <v>24</v>
      </c>
      <c r="J924" s="2">
        <v>4378.0200000000004</v>
      </c>
      <c r="K924" s="6">
        <v>0.8</v>
      </c>
      <c r="L924" t="s">
        <v>15</v>
      </c>
      <c r="M924" s="3">
        <f t="shared" si="29"/>
        <v>4378.0200000000004</v>
      </c>
      <c r="N924" s="9" t="str" cm="1">
        <f t="array" ref="N924">_xlfn.IFS(C924&lt;18,"Under 18",C924&lt;36,"18-35",C924&lt;51,"36-50",C924&lt;66,"51-65",C924&gt;=66,"Above 65")</f>
        <v>18-35</v>
      </c>
      <c r="O924" s="6"/>
    </row>
    <row r="925" spans="1:15" x14ac:dyDescent="0.35">
      <c r="A925" t="s">
        <v>1631</v>
      </c>
      <c r="B925" t="s">
        <v>37</v>
      </c>
      <c r="C925">
        <v>36</v>
      </c>
      <c r="D925" t="s">
        <v>18</v>
      </c>
      <c r="E925" s="5">
        <v>45582</v>
      </c>
      <c r="F925" s="5">
        <v>45590</v>
      </c>
      <c r="G925">
        <f t="shared" si="28"/>
        <v>8</v>
      </c>
      <c r="H925" t="s">
        <v>60</v>
      </c>
      <c r="I925" t="s">
        <v>142</v>
      </c>
      <c r="J925" s="2">
        <v>17866.580000000002</v>
      </c>
      <c r="K925" s="6">
        <v>0.9</v>
      </c>
      <c r="L925" t="s">
        <v>25</v>
      </c>
      <c r="M925" s="3">
        <f t="shared" si="29"/>
        <v>0</v>
      </c>
      <c r="N925" s="9" t="str" cm="1">
        <f t="array" ref="N925">_xlfn.IFS(C925&lt;18,"Under 18",C925&lt;36,"18-35",C925&lt;51,"36-50",C925&lt;66,"51-65",C925&gt;=66,"Above 65")</f>
        <v>36-50</v>
      </c>
      <c r="O925" s="6"/>
    </row>
    <row r="926" spans="1:15" x14ac:dyDescent="0.35">
      <c r="A926" t="s">
        <v>1632</v>
      </c>
      <c r="B926" t="s">
        <v>958</v>
      </c>
      <c r="C926">
        <v>79</v>
      </c>
      <c r="D926" t="s">
        <v>12</v>
      </c>
      <c r="E926" s="5">
        <v>45734</v>
      </c>
      <c r="F926" s="5">
        <v>45738</v>
      </c>
      <c r="G926">
        <f t="shared" si="28"/>
        <v>4</v>
      </c>
      <c r="H926" t="s">
        <v>13</v>
      </c>
      <c r="I926" t="s">
        <v>111</v>
      </c>
      <c r="J926" s="2">
        <v>5517.67</v>
      </c>
      <c r="K926" s="6">
        <v>0.9</v>
      </c>
      <c r="L926" t="s">
        <v>15</v>
      </c>
      <c r="M926" s="3">
        <f t="shared" si="29"/>
        <v>5517.67</v>
      </c>
      <c r="N926" s="9" t="str" cm="1">
        <f t="array" ref="N926">_xlfn.IFS(C926&lt;18,"Under 18",C926&lt;36,"18-35",C926&lt;51,"36-50",C926&lt;66,"51-65",C926&gt;=66,"Above 65")</f>
        <v>Above 65</v>
      </c>
      <c r="O926" s="6"/>
    </row>
    <row r="927" spans="1:15" x14ac:dyDescent="0.35">
      <c r="A927" t="s">
        <v>1633</v>
      </c>
      <c r="B927" t="s">
        <v>344</v>
      </c>
      <c r="C927">
        <v>48</v>
      </c>
      <c r="D927" t="s">
        <v>18</v>
      </c>
      <c r="E927" s="5">
        <v>45570</v>
      </c>
      <c r="F927" s="5">
        <v>45577</v>
      </c>
      <c r="G927">
        <f t="shared" si="28"/>
        <v>7</v>
      </c>
      <c r="H927" t="s">
        <v>70</v>
      </c>
      <c r="I927" t="s">
        <v>194</v>
      </c>
      <c r="J927" s="2">
        <v>14595.77</v>
      </c>
      <c r="K927" s="6">
        <v>0.8</v>
      </c>
      <c r="L927" t="s">
        <v>15</v>
      </c>
      <c r="M927" s="3">
        <f t="shared" si="29"/>
        <v>14595.77</v>
      </c>
      <c r="N927" s="9" t="str" cm="1">
        <f t="array" ref="N927">_xlfn.IFS(C927&lt;18,"Under 18",C927&lt;36,"18-35",C927&lt;51,"36-50",C927&lt;66,"51-65",C927&gt;=66,"Above 65")</f>
        <v>36-50</v>
      </c>
      <c r="O927" s="6"/>
    </row>
    <row r="928" spans="1:15" x14ac:dyDescent="0.35">
      <c r="A928" t="s">
        <v>1634</v>
      </c>
      <c r="B928" t="s">
        <v>1512</v>
      </c>
      <c r="C928">
        <v>42</v>
      </c>
      <c r="D928" t="s">
        <v>12</v>
      </c>
      <c r="E928" s="5">
        <v>45626</v>
      </c>
      <c r="F928" s="5">
        <v>45627</v>
      </c>
      <c r="G928">
        <f t="shared" si="28"/>
        <v>1</v>
      </c>
      <c r="H928" t="s">
        <v>31</v>
      </c>
      <c r="I928" t="s">
        <v>44</v>
      </c>
      <c r="J928" s="2">
        <v>543.05999999999995</v>
      </c>
      <c r="K928" s="6">
        <v>0.5</v>
      </c>
      <c r="L928" t="s">
        <v>15</v>
      </c>
      <c r="M928" s="3">
        <f t="shared" si="29"/>
        <v>543.05999999999995</v>
      </c>
      <c r="N928" s="9" t="str" cm="1">
        <f t="array" ref="N928">_xlfn.IFS(C928&lt;18,"Under 18",C928&lt;36,"18-35",C928&lt;51,"36-50",C928&lt;66,"51-65",C928&gt;=66,"Above 65")</f>
        <v>36-50</v>
      </c>
      <c r="O928" s="6"/>
    </row>
    <row r="929" spans="1:15" x14ac:dyDescent="0.35">
      <c r="A929" t="s">
        <v>1635</v>
      </c>
      <c r="B929" t="s">
        <v>538</v>
      </c>
      <c r="C929">
        <v>25</v>
      </c>
      <c r="D929" t="s">
        <v>18</v>
      </c>
      <c r="E929" s="5">
        <v>45316</v>
      </c>
      <c r="F929" s="5">
        <v>45321</v>
      </c>
      <c r="G929">
        <f t="shared" si="28"/>
        <v>5</v>
      </c>
      <c r="H929" t="s">
        <v>60</v>
      </c>
      <c r="I929" t="s">
        <v>74</v>
      </c>
      <c r="J929" s="2">
        <v>5082.0600000000004</v>
      </c>
      <c r="K929" s="6">
        <v>0</v>
      </c>
      <c r="L929" t="s">
        <v>20</v>
      </c>
      <c r="M929" s="3">
        <f t="shared" si="29"/>
        <v>0</v>
      </c>
      <c r="N929" s="9" t="str" cm="1">
        <f t="array" ref="N929">_xlfn.IFS(C929&lt;18,"Under 18",C929&lt;36,"18-35",C929&lt;51,"36-50",C929&lt;66,"51-65",C929&gt;=66,"Above 65")</f>
        <v>18-35</v>
      </c>
      <c r="O929" s="6"/>
    </row>
    <row r="930" spans="1:15" x14ac:dyDescent="0.35">
      <c r="A930" t="s">
        <v>1636</v>
      </c>
      <c r="B930" t="s">
        <v>1637</v>
      </c>
      <c r="C930">
        <v>38</v>
      </c>
      <c r="D930" t="s">
        <v>12</v>
      </c>
      <c r="E930" s="5">
        <v>45846</v>
      </c>
      <c r="F930" s="5">
        <v>45848</v>
      </c>
      <c r="G930">
        <f t="shared" si="28"/>
        <v>2</v>
      </c>
      <c r="H930" t="s">
        <v>23</v>
      </c>
      <c r="I930" t="s">
        <v>204</v>
      </c>
      <c r="J930" s="2">
        <v>2871.13</v>
      </c>
      <c r="K930" s="6">
        <v>0.9</v>
      </c>
      <c r="L930" t="s">
        <v>15</v>
      </c>
      <c r="M930" s="3">
        <f t="shared" si="29"/>
        <v>2871.13</v>
      </c>
      <c r="N930" s="9" t="str" cm="1">
        <f t="array" ref="N930">_xlfn.IFS(C930&lt;18,"Under 18",C930&lt;36,"18-35",C930&lt;51,"36-50",C930&lt;66,"51-65",C930&gt;=66,"Above 65")</f>
        <v>36-50</v>
      </c>
      <c r="O930" s="6"/>
    </row>
    <row r="931" spans="1:15" x14ac:dyDescent="0.35">
      <c r="A931" t="s">
        <v>1638</v>
      </c>
      <c r="B931" t="s">
        <v>1639</v>
      </c>
      <c r="C931">
        <v>67</v>
      </c>
      <c r="D931" t="s">
        <v>18</v>
      </c>
      <c r="E931" s="5">
        <v>45643</v>
      </c>
      <c r="F931" s="5">
        <v>45645</v>
      </c>
      <c r="G931">
        <f t="shared" si="28"/>
        <v>2</v>
      </c>
      <c r="H931" t="s">
        <v>60</v>
      </c>
      <c r="I931" t="s">
        <v>97</v>
      </c>
      <c r="J931" s="2">
        <v>4425.1499999999996</v>
      </c>
      <c r="K931" s="6">
        <v>0.7</v>
      </c>
      <c r="L931" t="s">
        <v>15</v>
      </c>
      <c r="M931" s="3">
        <f t="shared" si="29"/>
        <v>4425.1499999999996</v>
      </c>
      <c r="N931" s="9" t="str" cm="1">
        <f t="array" ref="N931">_xlfn.IFS(C931&lt;18,"Under 18",C931&lt;36,"18-35",C931&lt;51,"36-50",C931&lt;66,"51-65",C931&gt;=66,"Above 65")</f>
        <v>Above 65</v>
      </c>
      <c r="O931" s="6"/>
    </row>
    <row r="932" spans="1:15" x14ac:dyDescent="0.35">
      <c r="A932" t="s">
        <v>1640</v>
      </c>
      <c r="B932" t="s">
        <v>1641</v>
      </c>
      <c r="C932">
        <v>28</v>
      </c>
      <c r="D932" t="s">
        <v>18</v>
      </c>
      <c r="E932" s="5">
        <v>45661</v>
      </c>
      <c r="F932" s="5">
        <v>45662</v>
      </c>
      <c r="G932">
        <f t="shared" si="28"/>
        <v>1</v>
      </c>
      <c r="H932" t="s">
        <v>23</v>
      </c>
      <c r="I932" t="s">
        <v>41</v>
      </c>
      <c r="J932" s="2">
        <v>1958.56</v>
      </c>
      <c r="K932" s="6">
        <v>0.8</v>
      </c>
      <c r="L932" t="s">
        <v>15</v>
      </c>
      <c r="M932" s="3">
        <f t="shared" si="29"/>
        <v>1958.56</v>
      </c>
      <c r="N932" s="9" t="str" cm="1">
        <f t="array" ref="N932">_xlfn.IFS(C932&lt;18,"Under 18",C932&lt;36,"18-35",C932&lt;51,"36-50",C932&lt;66,"51-65",C932&gt;=66,"Above 65")</f>
        <v>18-35</v>
      </c>
      <c r="O932" s="6"/>
    </row>
    <row r="933" spans="1:15" x14ac:dyDescent="0.35">
      <c r="A933" t="s">
        <v>1642</v>
      </c>
      <c r="B933" t="s">
        <v>1643</v>
      </c>
      <c r="C933">
        <v>68</v>
      </c>
      <c r="D933" t="s">
        <v>12</v>
      </c>
      <c r="E933" s="5">
        <v>45767</v>
      </c>
      <c r="F933" s="5">
        <v>45769</v>
      </c>
      <c r="G933">
        <f t="shared" si="28"/>
        <v>2</v>
      </c>
      <c r="H933" t="s">
        <v>31</v>
      </c>
      <c r="I933" t="s">
        <v>44</v>
      </c>
      <c r="J933" s="2">
        <v>2268.81</v>
      </c>
      <c r="K933" s="6">
        <v>0.8</v>
      </c>
      <c r="L933" t="s">
        <v>15</v>
      </c>
      <c r="M933" s="3">
        <f t="shared" si="29"/>
        <v>2268.81</v>
      </c>
      <c r="N933" s="9" t="str" cm="1">
        <f t="array" ref="N933">_xlfn.IFS(C933&lt;18,"Under 18",C933&lt;36,"18-35",C933&lt;51,"36-50",C933&lt;66,"51-65",C933&gt;=66,"Above 65")</f>
        <v>Above 65</v>
      </c>
      <c r="O933" s="6"/>
    </row>
    <row r="934" spans="1:15" x14ac:dyDescent="0.35">
      <c r="A934" t="s">
        <v>1644</v>
      </c>
      <c r="B934" t="s">
        <v>43</v>
      </c>
      <c r="C934">
        <v>41</v>
      </c>
      <c r="D934" t="s">
        <v>12</v>
      </c>
      <c r="E934" s="5">
        <v>45895</v>
      </c>
      <c r="F934" s="5">
        <v>45904</v>
      </c>
      <c r="G934">
        <f t="shared" si="28"/>
        <v>9</v>
      </c>
      <c r="H934" t="s">
        <v>70</v>
      </c>
      <c r="I934" t="s">
        <v>71</v>
      </c>
      <c r="J934" s="2">
        <v>22621.47</v>
      </c>
      <c r="K934" s="6">
        <v>0.7</v>
      </c>
      <c r="L934" t="s">
        <v>25</v>
      </c>
      <c r="M934" s="3">
        <f t="shared" si="29"/>
        <v>0</v>
      </c>
      <c r="N934" s="9" t="str" cm="1">
        <f t="array" ref="N934">_xlfn.IFS(C934&lt;18,"Under 18",C934&lt;36,"18-35",C934&lt;51,"36-50",C934&lt;66,"51-65",C934&gt;=66,"Above 65")</f>
        <v>36-50</v>
      </c>
      <c r="O934" s="6"/>
    </row>
    <row r="935" spans="1:15" x14ac:dyDescent="0.35">
      <c r="A935" t="s">
        <v>1645</v>
      </c>
      <c r="B935" t="s">
        <v>1646</v>
      </c>
      <c r="C935">
        <v>46</v>
      </c>
      <c r="D935" t="s">
        <v>18</v>
      </c>
      <c r="E935" s="5">
        <v>45978</v>
      </c>
      <c r="F935" s="5">
        <v>45981</v>
      </c>
      <c r="G935">
        <f t="shared" si="28"/>
        <v>3</v>
      </c>
      <c r="H935" t="s">
        <v>60</v>
      </c>
      <c r="I935" t="s">
        <v>77</v>
      </c>
      <c r="J935" s="2">
        <v>3972.12</v>
      </c>
      <c r="K935" s="6">
        <v>0.5</v>
      </c>
      <c r="L935" t="s">
        <v>20</v>
      </c>
      <c r="M935" s="3">
        <f t="shared" si="29"/>
        <v>0</v>
      </c>
      <c r="N935" s="9" t="str" cm="1">
        <f t="array" ref="N935">_xlfn.IFS(C935&lt;18,"Under 18",C935&lt;36,"18-35",C935&lt;51,"36-50",C935&lt;66,"51-65",C935&gt;=66,"Above 65")</f>
        <v>36-50</v>
      </c>
      <c r="O935" s="6"/>
    </row>
    <row r="936" spans="1:15" x14ac:dyDescent="0.35">
      <c r="A936" t="s">
        <v>1647</v>
      </c>
      <c r="B936" t="s">
        <v>519</v>
      </c>
      <c r="C936">
        <v>16</v>
      </c>
      <c r="D936" t="s">
        <v>18</v>
      </c>
      <c r="E936" s="5">
        <v>45414</v>
      </c>
      <c r="F936" s="5">
        <v>45415</v>
      </c>
      <c r="G936">
        <f t="shared" si="28"/>
        <v>1</v>
      </c>
      <c r="H936" t="s">
        <v>49</v>
      </c>
      <c r="I936" t="s">
        <v>50</v>
      </c>
      <c r="J936" s="2">
        <v>921.67</v>
      </c>
      <c r="K936" s="6">
        <v>1</v>
      </c>
      <c r="L936" t="s">
        <v>15</v>
      </c>
      <c r="M936" s="3">
        <f t="shared" si="29"/>
        <v>921.67</v>
      </c>
      <c r="N936" s="9" t="str" cm="1">
        <f t="array" ref="N936">_xlfn.IFS(C936&lt;18,"Under 18",C936&lt;36,"18-35",C936&lt;51,"36-50",C936&lt;66,"51-65",C936&gt;=66,"Above 65")</f>
        <v>Under 18</v>
      </c>
      <c r="O936" s="6"/>
    </row>
    <row r="937" spans="1:15" x14ac:dyDescent="0.35">
      <c r="A937" t="s">
        <v>1648</v>
      </c>
      <c r="B937" t="s">
        <v>116</v>
      </c>
      <c r="C937">
        <v>48</v>
      </c>
      <c r="D937" t="s">
        <v>18</v>
      </c>
      <c r="E937" s="5">
        <v>45503</v>
      </c>
      <c r="F937" s="5">
        <v>45505</v>
      </c>
      <c r="G937">
        <f t="shared" si="28"/>
        <v>2</v>
      </c>
      <c r="H937" t="s">
        <v>23</v>
      </c>
      <c r="I937" t="s">
        <v>82</v>
      </c>
      <c r="J937" s="2">
        <v>3783.41</v>
      </c>
      <c r="K937" s="6">
        <v>0.7</v>
      </c>
      <c r="L937" t="s">
        <v>20</v>
      </c>
      <c r="M937" s="3">
        <f t="shared" si="29"/>
        <v>0</v>
      </c>
      <c r="N937" s="9" t="str" cm="1">
        <f t="array" ref="N937">_xlfn.IFS(C937&lt;18,"Under 18",C937&lt;36,"18-35",C937&lt;51,"36-50",C937&lt;66,"51-65",C937&gt;=66,"Above 65")</f>
        <v>36-50</v>
      </c>
      <c r="O937" s="6"/>
    </row>
    <row r="938" spans="1:15" x14ac:dyDescent="0.35">
      <c r="A938" t="s">
        <v>1649</v>
      </c>
      <c r="B938" t="s">
        <v>239</v>
      </c>
      <c r="C938">
        <v>31</v>
      </c>
      <c r="D938" t="s">
        <v>12</v>
      </c>
      <c r="E938" s="5">
        <v>45681</v>
      </c>
      <c r="F938" s="5">
        <v>45684</v>
      </c>
      <c r="G938">
        <f t="shared" si="28"/>
        <v>3</v>
      </c>
      <c r="H938" t="s">
        <v>23</v>
      </c>
      <c r="I938" t="s">
        <v>204</v>
      </c>
      <c r="J938" s="2">
        <v>3007.82</v>
      </c>
      <c r="K938" s="6">
        <v>0.6</v>
      </c>
      <c r="L938" t="s">
        <v>20</v>
      </c>
      <c r="M938" s="3">
        <f t="shared" si="29"/>
        <v>0</v>
      </c>
      <c r="N938" s="9" t="str" cm="1">
        <f t="array" ref="N938">_xlfn.IFS(C938&lt;18,"Under 18",C938&lt;36,"18-35",C938&lt;51,"36-50",C938&lt;66,"51-65",C938&gt;=66,"Above 65")</f>
        <v>18-35</v>
      </c>
      <c r="O938" s="6"/>
    </row>
    <row r="939" spans="1:15" x14ac:dyDescent="0.35">
      <c r="A939" t="s">
        <v>1650</v>
      </c>
      <c r="B939" t="s">
        <v>1651</v>
      </c>
      <c r="C939">
        <v>12</v>
      </c>
      <c r="D939" t="s">
        <v>12</v>
      </c>
      <c r="E939" s="5">
        <v>45733</v>
      </c>
      <c r="F939" s="5">
        <v>45738</v>
      </c>
      <c r="G939">
        <f t="shared" si="28"/>
        <v>5</v>
      </c>
      <c r="H939" t="s">
        <v>49</v>
      </c>
      <c r="I939" t="s">
        <v>378</v>
      </c>
      <c r="J939" s="2">
        <v>6547.21</v>
      </c>
      <c r="K939" s="6">
        <v>0.8</v>
      </c>
      <c r="L939" t="s">
        <v>25</v>
      </c>
      <c r="M939" s="3">
        <f t="shared" si="29"/>
        <v>0</v>
      </c>
      <c r="N939" s="9" t="str" cm="1">
        <f t="array" ref="N939">_xlfn.IFS(C939&lt;18,"Under 18",C939&lt;36,"18-35",C939&lt;51,"36-50",C939&lt;66,"51-65",C939&gt;=66,"Above 65")</f>
        <v>Under 18</v>
      </c>
      <c r="O939" s="6"/>
    </row>
    <row r="940" spans="1:15" x14ac:dyDescent="0.35">
      <c r="A940" t="s">
        <v>1652</v>
      </c>
      <c r="B940" t="s">
        <v>1653</v>
      </c>
      <c r="C940">
        <v>79</v>
      </c>
      <c r="D940" t="s">
        <v>12</v>
      </c>
      <c r="E940" s="5">
        <v>45891</v>
      </c>
      <c r="F940" s="5">
        <v>45897</v>
      </c>
      <c r="G940">
        <f t="shared" si="28"/>
        <v>6</v>
      </c>
      <c r="H940" t="s">
        <v>70</v>
      </c>
      <c r="I940" t="s">
        <v>194</v>
      </c>
      <c r="J940" s="2">
        <v>6760.22</v>
      </c>
      <c r="K940" s="6">
        <v>0.9</v>
      </c>
      <c r="L940" t="s">
        <v>15</v>
      </c>
      <c r="M940" s="3">
        <f t="shared" si="29"/>
        <v>6760.22</v>
      </c>
      <c r="N940" s="9" t="str" cm="1">
        <f t="array" ref="N940">_xlfn.IFS(C940&lt;18,"Under 18",C940&lt;36,"18-35",C940&lt;51,"36-50",C940&lt;66,"51-65",C940&gt;=66,"Above 65")</f>
        <v>Above 65</v>
      </c>
      <c r="O940" s="6"/>
    </row>
    <row r="941" spans="1:15" x14ac:dyDescent="0.35">
      <c r="A941" t="s">
        <v>1654</v>
      </c>
      <c r="B941" t="s">
        <v>1655</v>
      </c>
      <c r="C941">
        <v>48</v>
      </c>
      <c r="D941" t="s">
        <v>12</v>
      </c>
      <c r="E941" s="5">
        <v>45768</v>
      </c>
      <c r="F941" s="5">
        <v>45771</v>
      </c>
      <c r="G941">
        <f t="shared" si="28"/>
        <v>3</v>
      </c>
      <c r="H941" t="s">
        <v>31</v>
      </c>
      <c r="I941" t="s">
        <v>87</v>
      </c>
      <c r="J941" s="2">
        <v>3865.55</v>
      </c>
      <c r="K941" s="6">
        <v>0.8</v>
      </c>
      <c r="L941" t="s">
        <v>15</v>
      </c>
      <c r="M941" s="3">
        <f t="shared" si="29"/>
        <v>3865.55</v>
      </c>
      <c r="N941" s="9" t="str" cm="1">
        <f t="array" ref="N941">_xlfn.IFS(C941&lt;18,"Under 18",C941&lt;36,"18-35",C941&lt;51,"36-50",C941&lt;66,"51-65",C941&gt;=66,"Above 65")</f>
        <v>36-50</v>
      </c>
      <c r="O941" s="6"/>
    </row>
    <row r="942" spans="1:15" x14ac:dyDescent="0.35">
      <c r="A942" t="s">
        <v>1656</v>
      </c>
      <c r="B942" t="s">
        <v>789</v>
      </c>
      <c r="C942">
        <v>43</v>
      </c>
      <c r="D942" t="s">
        <v>12</v>
      </c>
      <c r="E942" s="5">
        <v>45383</v>
      </c>
      <c r="F942" s="5">
        <v>45389</v>
      </c>
      <c r="G942">
        <f t="shared" si="28"/>
        <v>6</v>
      </c>
      <c r="H942" t="s">
        <v>31</v>
      </c>
      <c r="I942" t="s">
        <v>53</v>
      </c>
      <c r="J942" s="2">
        <v>5921.38</v>
      </c>
      <c r="K942" s="6">
        <v>0.7</v>
      </c>
      <c r="L942" t="s">
        <v>15</v>
      </c>
      <c r="M942" s="3">
        <f t="shared" si="29"/>
        <v>5921.38</v>
      </c>
      <c r="N942" s="9" t="str" cm="1">
        <f t="array" ref="N942">_xlfn.IFS(C942&lt;18,"Under 18",C942&lt;36,"18-35",C942&lt;51,"36-50",C942&lt;66,"51-65",C942&gt;=66,"Above 65")</f>
        <v>36-50</v>
      </c>
      <c r="O942" s="6"/>
    </row>
    <row r="943" spans="1:15" x14ac:dyDescent="0.35">
      <c r="A943" t="s">
        <v>1657</v>
      </c>
      <c r="B943" t="s">
        <v>292</v>
      </c>
      <c r="C943">
        <v>34</v>
      </c>
      <c r="D943" t="s">
        <v>12</v>
      </c>
      <c r="E943" s="5">
        <v>45607</v>
      </c>
      <c r="F943" s="5">
        <v>45616</v>
      </c>
      <c r="G943">
        <f t="shared" si="28"/>
        <v>9</v>
      </c>
      <c r="H943" t="s">
        <v>60</v>
      </c>
      <c r="I943" t="s">
        <v>97</v>
      </c>
      <c r="J943" s="2">
        <v>11299.89</v>
      </c>
      <c r="K943" s="6">
        <v>1</v>
      </c>
      <c r="L943" t="s">
        <v>20</v>
      </c>
      <c r="M943" s="3">
        <f t="shared" si="29"/>
        <v>0</v>
      </c>
      <c r="N943" s="9" t="str" cm="1">
        <f t="array" ref="N943">_xlfn.IFS(C943&lt;18,"Under 18",C943&lt;36,"18-35",C943&lt;51,"36-50",C943&lt;66,"51-65",C943&gt;=66,"Above 65")</f>
        <v>18-35</v>
      </c>
      <c r="O943" s="6"/>
    </row>
    <row r="944" spans="1:15" x14ac:dyDescent="0.35">
      <c r="A944" t="s">
        <v>1658</v>
      </c>
      <c r="B944" t="s">
        <v>1659</v>
      </c>
      <c r="C944">
        <v>15</v>
      </c>
      <c r="D944" t="s">
        <v>18</v>
      </c>
      <c r="E944" s="5">
        <v>45392</v>
      </c>
      <c r="F944" s="5">
        <v>45396</v>
      </c>
      <c r="G944">
        <f t="shared" si="28"/>
        <v>4</v>
      </c>
      <c r="H944" t="s">
        <v>49</v>
      </c>
      <c r="I944" t="s">
        <v>120</v>
      </c>
      <c r="J944" s="2">
        <v>4061.69</v>
      </c>
      <c r="K944" s="6">
        <v>0.6</v>
      </c>
      <c r="L944" t="s">
        <v>15</v>
      </c>
      <c r="M944" s="3">
        <f t="shared" si="29"/>
        <v>4061.69</v>
      </c>
      <c r="N944" s="9" t="str" cm="1">
        <f t="array" ref="N944">_xlfn.IFS(C944&lt;18,"Under 18",C944&lt;36,"18-35",C944&lt;51,"36-50",C944&lt;66,"51-65",C944&gt;=66,"Above 65")</f>
        <v>Under 18</v>
      </c>
      <c r="O944" s="6"/>
    </row>
    <row r="945" spans="1:15" x14ac:dyDescent="0.35">
      <c r="A945" t="s">
        <v>1660</v>
      </c>
      <c r="B945" t="s">
        <v>1661</v>
      </c>
      <c r="C945">
        <v>9</v>
      </c>
      <c r="D945" t="s">
        <v>18</v>
      </c>
      <c r="E945" s="5">
        <v>45519</v>
      </c>
      <c r="F945" s="5">
        <v>45520</v>
      </c>
      <c r="G945">
        <f t="shared" si="28"/>
        <v>1</v>
      </c>
      <c r="H945" t="s">
        <v>49</v>
      </c>
      <c r="I945" t="s">
        <v>120</v>
      </c>
      <c r="J945" s="2">
        <v>1243.02</v>
      </c>
      <c r="K945" s="6">
        <v>0.8</v>
      </c>
      <c r="L945" t="s">
        <v>15</v>
      </c>
      <c r="M945" s="3">
        <f t="shared" si="29"/>
        <v>1243.02</v>
      </c>
      <c r="N945" s="9" t="str" cm="1">
        <f t="array" ref="N945">_xlfn.IFS(C945&lt;18,"Under 18",C945&lt;36,"18-35",C945&lt;51,"36-50",C945&lt;66,"51-65",C945&gt;=66,"Above 65")</f>
        <v>Under 18</v>
      </c>
      <c r="O945" s="6"/>
    </row>
    <row r="946" spans="1:15" x14ac:dyDescent="0.35">
      <c r="A946" t="s">
        <v>1662</v>
      </c>
      <c r="B946" t="s">
        <v>1663</v>
      </c>
      <c r="C946">
        <v>70</v>
      </c>
      <c r="D946" t="s">
        <v>12</v>
      </c>
      <c r="E946" s="5">
        <v>45592</v>
      </c>
      <c r="F946" s="5">
        <v>45599</v>
      </c>
      <c r="G946">
        <f t="shared" si="28"/>
        <v>7</v>
      </c>
      <c r="H946" t="s">
        <v>60</v>
      </c>
      <c r="I946" t="s">
        <v>97</v>
      </c>
      <c r="J946" s="2">
        <v>18613.240000000002</v>
      </c>
      <c r="K946" s="6">
        <v>0.8</v>
      </c>
      <c r="L946" t="s">
        <v>15</v>
      </c>
      <c r="M946" s="3">
        <f t="shared" si="29"/>
        <v>18613.240000000002</v>
      </c>
      <c r="N946" s="9" t="str" cm="1">
        <f t="array" ref="N946">_xlfn.IFS(C946&lt;18,"Under 18",C946&lt;36,"18-35",C946&lt;51,"36-50",C946&lt;66,"51-65",C946&gt;=66,"Above 65")</f>
        <v>Above 65</v>
      </c>
      <c r="O946" s="6"/>
    </row>
    <row r="947" spans="1:15" x14ac:dyDescent="0.35">
      <c r="A947" t="s">
        <v>1664</v>
      </c>
      <c r="B947" t="s">
        <v>620</v>
      </c>
      <c r="C947">
        <v>31</v>
      </c>
      <c r="D947" t="s">
        <v>18</v>
      </c>
      <c r="E947" s="5">
        <v>45526</v>
      </c>
      <c r="F947" s="5">
        <v>45529</v>
      </c>
      <c r="G947">
        <f t="shared" si="28"/>
        <v>3</v>
      </c>
      <c r="H947" t="s">
        <v>70</v>
      </c>
      <c r="I947" t="s">
        <v>71</v>
      </c>
      <c r="J947" s="2">
        <v>4541.45</v>
      </c>
      <c r="K947" s="6">
        <v>0.6</v>
      </c>
      <c r="L947" t="s">
        <v>15</v>
      </c>
      <c r="M947" s="3">
        <f t="shared" si="29"/>
        <v>4541.45</v>
      </c>
      <c r="N947" s="9" t="str" cm="1">
        <f t="array" ref="N947">_xlfn.IFS(C947&lt;18,"Under 18",C947&lt;36,"18-35",C947&lt;51,"36-50",C947&lt;66,"51-65",C947&gt;=66,"Above 65")</f>
        <v>18-35</v>
      </c>
      <c r="O947" s="6"/>
    </row>
    <row r="948" spans="1:15" x14ac:dyDescent="0.35">
      <c r="A948" t="s">
        <v>1665</v>
      </c>
      <c r="B948" t="s">
        <v>1666</v>
      </c>
      <c r="C948">
        <v>65</v>
      </c>
      <c r="D948" t="s">
        <v>12</v>
      </c>
      <c r="E948" s="5">
        <v>45967</v>
      </c>
      <c r="F948" s="5">
        <v>45972</v>
      </c>
      <c r="G948">
        <f t="shared" si="28"/>
        <v>5</v>
      </c>
      <c r="H948" t="s">
        <v>13</v>
      </c>
      <c r="I948" t="s">
        <v>19</v>
      </c>
      <c r="J948" s="2">
        <v>14897.36</v>
      </c>
      <c r="K948" s="6">
        <v>1</v>
      </c>
      <c r="L948" t="s">
        <v>15</v>
      </c>
      <c r="M948" s="3">
        <f t="shared" si="29"/>
        <v>14897.36</v>
      </c>
      <c r="N948" s="9" t="str" cm="1">
        <f t="array" ref="N948">_xlfn.IFS(C948&lt;18,"Under 18",C948&lt;36,"18-35",C948&lt;51,"36-50",C948&lt;66,"51-65",C948&gt;=66,"Above 65")</f>
        <v>51-65</v>
      </c>
      <c r="O948" s="6"/>
    </row>
    <row r="949" spans="1:15" x14ac:dyDescent="0.35">
      <c r="A949" t="s">
        <v>1667</v>
      </c>
      <c r="B949" t="s">
        <v>34</v>
      </c>
      <c r="C949">
        <v>60</v>
      </c>
      <c r="D949" t="s">
        <v>12</v>
      </c>
      <c r="E949" s="5">
        <v>45761</v>
      </c>
      <c r="F949" s="5">
        <v>45766</v>
      </c>
      <c r="G949">
        <f t="shared" si="28"/>
        <v>5</v>
      </c>
      <c r="H949" t="s">
        <v>60</v>
      </c>
      <c r="I949" t="s">
        <v>97</v>
      </c>
      <c r="J949" s="2">
        <v>5557.59</v>
      </c>
      <c r="K949" s="6">
        <v>0.7</v>
      </c>
      <c r="L949" t="s">
        <v>25</v>
      </c>
      <c r="M949" s="3">
        <f t="shared" si="29"/>
        <v>0</v>
      </c>
      <c r="N949" s="9" t="str" cm="1">
        <f t="array" ref="N949">_xlfn.IFS(C949&lt;18,"Under 18",C949&lt;36,"18-35",C949&lt;51,"36-50",C949&lt;66,"51-65",C949&gt;=66,"Above 65")</f>
        <v>51-65</v>
      </c>
      <c r="O949" s="6"/>
    </row>
    <row r="950" spans="1:15" x14ac:dyDescent="0.35">
      <c r="A950" t="s">
        <v>1668</v>
      </c>
      <c r="B950" t="s">
        <v>1669</v>
      </c>
      <c r="C950">
        <v>59</v>
      </c>
      <c r="D950" t="s">
        <v>18</v>
      </c>
      <c r="E950" s="5">
        <v>45331</v>
      </c>
      <c r="F950" s="5">
        <v>45337</v>
      </c>
      <c r="G950">
        <f t="shared" si="28"/>
        <v>6</v>
      </c>
      <c r="H950" t="s">
        <v>13</v>
      </c>
      <c r="I950" t="s">
        <v>165</v>
      </c>
      <c r="J950" s="2">
        <v>14526.47</v>
      </c>
      <c r="K950" s="6">
        <v>0.9</v>
      </c>
      <c r="L950" t="s">
        <v>15</v>
      </c>
      <c r="M950" s="3">
        <f t="shared" si="29"/>
        <v>14526.47</v>
      </c>
      <c r="N950" s="9" t="str" cm="1">
        <f t="array" ref="N950">_xlfn.IFS(C950&lt;18,"Under 18",C950&lt;36,"18-35",C950&lt;51,"36-50",C950&lt;66,"51-65",C950&gt;=66,"Above 65")</f>
        <v>51-65</v>
      </c>
      <c r="O950" s="6"/>
    </row>
    <row r="951" spans="1:15" x14ac:dyDescent="0.35">
      <c r="A951" t="s">
        <v>1670</v>
      </c>
      <c r="B951" t="s">
        <v>984</v>
      </c>
      <c r="C951">
        <v>33</v>
      </c>
      <c r="D951" t="s">
        <v>18</v>
      </c>
      <c r="E951" s="5">
        <v>45961</v>
      </c>
      <c r="F951" s="5">
        <v>45968</v>
      </c>
      <c r="G951">
        <f t="shared" si="28"/>
        <v>7</v>
      </c>
      <c r="H951" t="s">
        <v>31</v>
      </c>
      <c r="I951" t="s">
        <v>234</v>
      </c>
      <c r="J951" s="2">
        <v>6592.81</v>
      </c>
      <c r="K951" s="6">
        <v>0.8</v>
      </c>
      <c r="L951" t="s">
        <v>20</v>
      </c>
      <c r="M951" s="3">
        <f t="shared" si="29"/>
        <v>0</v>
      </c>
      <c r="N951" s="9" t="str" cm="1">
        <f t="array" ref="N951">_xlfn.IFS(C951&lt;18,"Under 18",C951&lt;36,"18-35",C951&lt;51,"36-50",C951&lt;66,"51-65",C951&gt;=66,"Above 65")</f>
        <v>18-35</v>
      </c>
      <c r="O951" s="6"/>
    </row>
    <row r="952" spans="1:15" x14ac:dyDescent="0.35">
      <c r="A952" t="s">
        <v>1671</v>
      </c>
      <c r="B952" t="s">
        <v>1672</v>
      </c>
      <c r="C952">
        <v>45</v>
      </c>
      <c r="D952" t="s">
        <v>18</v>
      </c>
      <c r="E952" s="5">
        <v>45598</v>
      </c>
      <c r="F952" s="5">
        <v>45602</v>
      </c>
      <c r="G952">
        <f t="shared" si="28"/>
        <v>4</v>
      </c>
      <c r="H952" t="s">
        <v>31</v>
      </c>
      <c r="I952" t="s">
        <v>114</v>
      </c>
      <c r="J952" s="2">
        <v>5811.71</v>
      </c>
      <c r="K952" s="6">
        <v>0.8</v>
      </c>
      <c r="L952" t="s">
        <v>15</v>
      </c>
      <c r="M952" s="3">
        <f t="shared" si="29"/>
        <v>5811.71</v>
      </c>
      <c r="N952" s="9" t="str" cm="1">
        <f t="array" ref="N952">_xlfn.IFS(C952&lt;18,"Under 18",C952&lt;36,"18-35",C952&lt;51,"36-50",C952&lt;66,"51-65",C952&gt;=66,"Above 65")</f>
        <v>36-50</v>
      </c>
      <c r="O952" s="6"/>
    </row>
    <row r="953" spans="1:15" x14ac:dyDescent="0.35">
      <c r="A953" t="s">
        <v>1673</v>
      </c>
      <c r="B953" t="s">
        <v>1674</v>
      </c>
      <c r="C953">
        <v>72</v>
      </c>
      <c r="D953" t="s">
        <v>18</v>
      </c>
      <c r="E953" s="5">
        <v>45486</v>
      </c>
      <c r="F953" s="5">
        <v>45493</v>
      </c>
      <c r="G953">
        <f t="shared" si="28"/>
        <v>7</v>
      </c>
      <c r="H953" t="s">
        <v>60</v>
      </c>
      <c r="I953" t="s">
        <v>142</v>
      </c>
      <c r="J953" s="2">
        <v>15420.8</v>
      </c>
      <c r="K953" s="6">
        <v>0.6</v>
      </c>
      <c r="L953" t="s">
        <v>25</v>
      </c>
      <c r="M953" s="3">
        <f t="shared" si="29"/>
        <v>0</v>
      </c>
      <c r="N953" s="9" t="str" cm="1">
        <f t="array" ref="N953">_xlfn.IFS(C953&lt;18,"Under 18",C953&lt;36,"18-35",C953&lt;51,"36-50",C953&lt;66,"51-65",C953&gt;=66,"Above 65")</f>
        <v>Above 65</v>
      </c>
      <c r="O953" s="6"/>
    </row>
    <row r="954" spans="1:15" x14ac:dyDescent="0.35">
      <c r="A954" t="s">
        <v>1675</v>
      </c>
      <c r="B954" t="s">
        <v>944</v>
      </c>
      <c r="C954">
        <v>31</v>
      </c>
      <c r="D954" t="s">
        <v>18</v>
      </c>
      <c r="E954" s="5">
        <v>45327</v>
      </c>
      <c r="F954" s="5">
        <v>45338</v>
      </c>
      <c r="G954">
        <f t="shared" si="28"/>
        <v>11</v>
      </c>
      <c r="H954" t="s">
        <v>60</v>
      </c>
      <c r="I954" t="s">
        <v>74</v>
      </c>
      <c r="J954" s="2">
        <v>28706.36</v>
      </c>
      <c r="K954" s="6">
        <v>0.8</v>
      </c>
      <c r="L954" t="s">
        <v>15</v>
      </c>
      <c r="M954" s="3">
        <f t="shared" si="29"/>
        <v>28706.36</v>
      </c>
      <c r="N954" s="9" t="str" cm="1">
        <f t="array" ref="N954">_xlfn.IFS(C954&lt;18,"Under 18",C954&lt;36,"18-35",C954&lt;51,"36-50",C954&lt;66,"51-65",C954&gt;=66,"Above 65")</f>
        <v>18-35</v>
      </c>
      <c r="O954" s="6"/>
    </row>
    <row r="955" spans="1:15" x14ac:dyDescent="0.35">
      <c r="A955" t="s">
        <v>1676</v>
      </c>
      <c r="B955" t="s">
        <v>1677</v>
      </c>
      <c r="C955">
        <v>78</v>
      </c>
      <c r="D955" t="s">
        <v>18</v>
      </c>
      <c r="E955" s="5">
        <v>45462</v>
      </c>
      <c r="F955" s="5">
        <v>45468</v>
      </c>
      <c r="G955">
        <f t="shared" si="28"/>
        <v>6</v>
      </c>
      <c r="H955" t="s">
        <v>13</v>
      </c>
      <c r="I955" t="s">
        <v>14</v>
      </c>
      <c r="J955" s="2">
        <v>10923.17</v>
      </c>
      <c r="K955" s="6">
        <v>0.9</v>
      </c>
      <c r="L955" t="s">
        <v>20</v>
      </c>
      <c r="M955" s="3">
        <f t="shared" si="29"/>
        <v>0</v>
      </c>
      <c r="N955" s="9" t="str" cm="1">
        <f t="array" ref="N955">_xlfn.IFS(C955&lt;18,"Under 18",C955&lt;36,"18-35",C955&lt;51,"36-50",C955&lt;66,"51-65",C955&gt;=66,"Above 65")</f>
        <v>Above 65</v>
      </c>
      <c r="O955" s="6"/>
    </row>
    <row r="956" spans="1:15" x14ac:dyDescent="0.35">
      <c r="A956" t="s">
        <v>1678</v>
      </c>
      <c r="B956" t="s">
        <v>302</v>
      </c>
      <c r="C956">
        <v>52</v>
      </c>
      <c r="D956" t="s">
        <v>18</v>
      </c>
      <c r="E956" s="5">
        <v>45696</v>
      </c>
      <c r="F956" s="5">
        <v>45705</v>
      </c>
      <c r="G956">
        <f t="shared" si="28"/>
        <v>9</v>
      </c>
      <c r="H956" t="s">
        <v>70</v>
      </c>
      <c r="I956" t="s">
        <v>157</v>
      </c>
      <c r="J956" s="2">
        <v>20558.88</v>
      </c>
      <c r="K956" s="6">
        <v>0.9</v>
      </c>
      <c r="L956" t="s">
        <v>15</v>
      </c>
      <c r="M956" s="3">
        <f t="shared" si="29"/>
        <v>20558.88</v>
      </c>
      <c r="N956" s="9" t="str" cm="1">
        <f t="array" ref="N956">_xlfn.IFS(C956&lt;18,"Under 18",C956&lt;36,"18-35",C956&lt;51,"36-50",C956&lt;66,"51-65",C956&gt;=66,"Above 65")</f>
        <v>51-65</v>
      </c>
      <c r="O956" s="6"/>
    </row>
    <row r="957" spans="1:15" x14ac:dyDescent="0.35">
      <c r="A957" t="s">
        <v>1679</v>
      </c>
      <c r="B957" t="s">
        <v>177</v>
      </c>
      <c r="C957">
        <v>41</v>
      </c>
      <c r="D957" t="s">
        <v>12</v>
      </c>
      <c r="E957" s="5">
        <v>45988</v>
      </c>
      <c r="F957" s="5">
        <v>45989</v>
      </c>
      <c r="G957">
        <f t="shared" si="28"/>
        <v>1</v>
      </c>
      <c r="H957" t="s">
        <v>31</v>
      </c>
      <c r="I957" t="s">
        <v>35</v>
      </c>
      <c r="J957" s="2">
        <v>759.83</v>
      </c>
      <c r="K957" s="6">
        <v>0.7</v>
      </c>
      <c r="L957" t="s">
        <v>15</v>
      </c>
      <c r="M957" s="3">
        <f t="shared" si="29"/>
        <v>759.83</v>
      </c>
      <c r="N957" s="9" t="str" cm="1">
        <f t="array" ref="N957">_xlfn.IFS(C957&lt;18,"Under 18",C957&lt;36,"18-35",C957&lt;51,"36-50",C957&lt;66,"51-65",C957&gt;=66,"Above 65")</f>
        <v>36-50</v>
      </c>
      <c r="O957" s="6"/>
    </row>
    <row r="958" spans="1:15" x14ac:dyDescent="0.35">
      <c r="A958" t="s">
        <v>1680</v>
      </c>
      <c r="B958" t="s">
        <v>1639</v>
      </c>
      <c r="C958">
        <v>32</v>
      </c>
      <c r="D958" t="s">
        <v>18</v>
      </c>
      <c r="E958" s="5">
        <v>45697</v>
      </c>
      <c r="F958" s="5">
        <v>45699</v>
      </c>
      <c r="G958">
        <f t="shared" si="28"/>
        <v>2</v>
      </c>
      <c r="H958" t="s">
        <v>23</v>
      </c>
      <c r="I958" t="s">
        <v>82</v>
      </c>
      <c r="J958" s="2">
        <v>2012.29</v>
      </c>
      <c r="K958" s="6">
        <v>0.7</v>
      </c>
      <c r="L958" t="s">
        <v>15</v>
      </c>
      <c r="M958" s="3">
        <f t="shared" si="29"/>
        <v>2012.29</v>
      </c>
      <c r="N958" s="9" t="str" cm="1">
        <f t="array" ref="N958">_xlfn.IFS(C958&lt;18,"Under 18",C958&lt;36,"18-35",C958&lt;51,"36-50",C958&lt;66,"51-65",C958&gt;=66,"Above 65")</f>
        <v>18-35</v>
      </c>
      <c r="O958" s="6"/>
    </row>
    <row r="959" spans="1:15" x14ac:dyDescent="0.35">
      <c r="A959" t="s">
        <v>1681</v>
      </c>
      <c r="B959" t="s">
        <v>1682</v>
      </c>
      <c r="C959">
        <v>39</v>
      </c>
      <c r="D959" t="s">
        <v>12</v>
      </c>
      <c r="E959" s="5">
        <v>45450</v>
      </c>
      <c r="F959" s="5">
        <v>45456</v>
      </c>
      <c r="G959">
        <f t="shared" si="28"/>
        <v>6</v>
      </c>
      <c r="H959" t="s">
        <v>60</v>
      </c>
      <c r="I959" t="s">
        <v>61</v>
      </c>
      <c r="J959" s="2">
        <v>16229.56</v>
      </c>
      <c r="K959" s="6">
        <v>0.9</v>
      </c>
      <c r="L959" t="s">
        <v>15</v>
      </c>
      <c r="M959" s="3">
        <f t="shared" si="29"/>
        <v>16229.56</v>
      </c>
      <c r="N959" s="9" t="str" cm="1">
        <f t="array" ref="N959">_xlfn.IFS(C959&lt;18,"Under 18",C959&lt;36,"18-35",C959&lt;51,"36-50",C959&lt;66,"51-65",C959&gt;=66,"Above 65")</f>
        <v>36-50</v>
      </c>
      <c r="O959" s="6"/>
    </row>
    <row r="960" spans="1:15" x14ac:dyDescent="0.35">
      <c r="A960" t="s">
        <v>1683</v>
      </c>
      <c r="B960" t="s">
        <v>367</v>
      </c>
      <c r="C960">
        <v>52</v>
      </c>
      <c r="D960" t="s">
        <v>12</v>
      </c>
      <c r="E960" s="5">
        <v>45304</v>
      </c>
      <c r="F960" s="5">
        <v>45310</v>
      </c>
      <c r="G960">
        <f t="shared" si="28"/>
        <v>6</v>
      </c>
      <c r="H960" t="s">
        <v>31</v>
      </c>
      <c r="I960" t="s">
        <v>35</v>
      </c>
      <c r="J960" s="2">
        <v>8478.0300000000007</v>
      </c>
      <c r="K960" s="6">
        <v>0.7</v>
      </c>
      <c r="L960" t="s">
        <v>25</v>
      </c>
      <c r="M960" s="3">
        <f t="shared" si="29"/>
        <v>0</v>
      </c>
      <c r="N960" s="9" t="str" cm="1">
        <f t="array" ref="N960">_xlfn.IFS(C960&lt;18,"Under 18",C960&lt;36,"18-35",C960&lt;51,"36-50",C960&lt;66,"51-65",C960&gt;=66,"Above 65")</f>
        <v>51-65</v>
      </c>
      <c r="O960" s="6"/>
    </row>
    <row r="961" spans="1:15" x14ac:dyDescent="0.35">
      <c r="A961" t="s">
        <v>1684</v>
      </c>
      <c r="B961" t="s">
        <v>1685</v>
      </c>
      <c r="C961">
        <v>58</v>
      </c>
      <c r="D961" t="s">
        <v>18</v>
      </c>
      <c r="E961" s="5">
        <v>45470</v>
      </c>
      <c r="F961" s="5">
        <v>45480</v>
      </c>
      <c r="G961">
        <f t="shared" si="28"/>
        <v>10</v>
      </c>
      <c r="H961" t="s">
        <v>70</v>
      </c>
      <c r="I961" t="s">
        <v>157</v>
      </c>
      <c r="J961" s="2">
        <v>23264.42</v>
      </c>
      <c r="K961" s="6">
        <v>0.6</v>
      </c>
      <c r="L961" t="s">
        <v>15</v>
      </c>
      <c r="M961" s="3">
        <f t="shared" si="29"/>
        <v>23264.42</v>
      </c>
      <c r="N961" s="9" t="str" cm="1">
        <f t="array" ref="N961">_xlfn.IFS(C961&lt;18,"Under 18",C961&lt;36,"18-35",C961&lt;51,"36-50",C961&lt;66,"51-65",C961&gt;=66,"Above 65")</f>
        <v>51-65</v>
      </c>
      <c r="O961" s="6"/>
    </row>
    <row r="962" spans="1:15" x14ac:dyDescent="0.35">
      <c r="A962" t="s">
        <v>1686</v>
      </c>
      <c r="B962" t="s">
        <v>175</v>
      </c>
      <c r="C962">
        <v>82</v>
      </c>
      <c r="D962" t="s">
        <v>18</v>
      </c>
      <c r="E962" s="5">
        <v>45654</v>
      </c>
      <c r="F962" s="5">
        <v>45658</v>
      </c>
      <c r="G962">
        <f t="shared" si="28"/>
        <v>4</v>
      </c>
      <c r="H962" t="s">
        <v>31</v>
      </c>
      <c r="I962" t="s">
        <v>53</v>
      </c>
      <c r="J962" s="2">
        <v>4983.18</v>
      </c>
      <c r="K962" s="6">
        <v>0.8</v>
      </c>
      <c r="L962" t="s">
        <v>25</v>
      </c>
      <c r="M962" s="3">
        <f t="shared" si="29"/>
        <v>0</v>
      </c>
      <c r="N962" s="9" t="str" cm="1">
        <f t="array" ref="N962">_xlfn.IFS(C962&lt;18,"Under 18",C962&lt;36,"18-35",C962&lt;51,"36-50",C962&lt;66,"51-65",C962&gt;=66,"Above 65")</f>
        <v>Above 65</v>
      </c>
      <c r="O962" s="6"/>
    </row>
    <row r="963" spans="1:15" x14ac:dyDescent="0.35">
      <c r="A963" t="s">
        <v>1687</v>
      </c>
      <c r="B963" t="s">
        <v>1688</v>
      </c>
      <c r="C963">
        <v>47</v>
      </c>
      <c r="D963" t="s">
        <v>18</v>
      </c>
      <c r="E963" s="5">
        <v>45735</v>
      </c>
      <c r="F963" s="5">
        <v>45741</v>
      </c>
      <c r="G963">
        <f t="shared" ref="G963:G1001" si="30">DATEDIF(E963,F963,"D")</f>
        <v>6</v>
      </c>
      <c r="H963" t="s">
        <v>31</v>
      </c>
      <c r="I963" t="s">
        <v>53</v>
      </c>
      <c r="J963" s="2">
        <v>7613.41</v>
      </c>
      <c r="K963" s="6">
        <v>0.9</v>
      </c>
      <c r="L963" t="s">
        <v>15</v>
      </c>
      <c r="M963" s="3">
        <f t="shared" ref="M963:M1001" si="31">IF(L963 = "Paid",J963,0)</f>
        <v>7613.41</v>
      </c>
      <c r="N963" s="9" t="str" cm="1">
        <f t="array" ref="N963">_xlfn.IFS(C963&lt;18,"Under 18",C963&lt;36,"18-35",C963&lt;51,"36-50",C963&lt;66,"51-65",C963&gt;=66,"Above 65")</f>
        <v>36-50</v>
      </c>
      <c r="O963" s="6"/>
    </row>
    <row r="964" spans="1:15" x14ac:dyDescent="0.35">
      <c r="A964" t="s">
        <v>1689</v>
      </c>
      <c r="B964" t="s">
        <v>987</v>
      </c>
      <c r="C964">
        <v>37</v>
      </c>
      <c r="D964" t="s">
        <v>12</v>
      </c>
      <c r="E964" s="5">
        <v>45387</v>
      </c>
      <c r="F964" s="5">
        <v>45388</v>
      </c>
      <c r="G964">
        <f t="shared" si="30"/>
        <v>1</v>
      </c>
      <c r="H964" t="s">
        <v>23</v>
      </c>
      <c r="I964" t="s">
        <v>221</v>
      </c>
      <c r="J964" s="2">
        <v>2431.81</v>
      </c>
      <c r="K964" s="6">
        <v>0.8</v>
      </c>
      <c r="L964" t="s">
        <v>15</v>
      </c>
      <c r="M964" s="3">
        <f t="shared" si="31"/>
        <v>2431.81</v>
      </c>
      <c r="N964" s="9" t="str" cm="1">
        <f t="array" ref="N964">_xlfn.IFS(C964&lt;18,"Under 18",C964&lt;36,"18-35",C964&lt;51,"36-50",C964&lt;66,"51-65",C964&gt;=66,"Above 65")</f>
        <v>36-50</v>
      </c>
      <c r="O964" s="6"/>
    </row>
    <row r="965" spans="1:15" x14ac:dyDescent="0.35">
      <c r="A965" t="s">
        <v>1690</v>
      </c>
      <c r="B965" t="s">
        <v>1691</v>
      </c>
      <c r="C965">
        <v>61</v>
      </c>
      <c r="D965" t="s">
        <v>18</v>
      </c>
      <c r="E965" s="5">
        <v>45478</v>
      </c>
      <c r="F965" s="5">
        <v>45480</v>
      </c>
      <c r="G965">
        <f t="shared" si="30"/>
        <v>2</v>
      </c>
      <c r="H965" t="s">
        <v>31</v>
      </c>
      <c r="I965" t="s">
        <v>234</v>
      </c>
      <c r="J965" s="2">
        <v>1073.8900000000001</v>
      </c>
      <c r="K965" s="6">
        <v>0.7</v>
      </c>
      <c r="L965" t="s">
        <v>20</v>
      </c>
      <c r="M965" s="3">
        <f t="shared" si="31"/>
        <v>0</v>
      </c>
      <c r="N965" s="9" t="str" cm="1">
        <f t="array" ref="N965">_xlfn.IFS(C965&lt;18,"Under 18",C965&lt;36,"18-35",C965&lt;51,"36-50",C965&lt;66,"51-65",C965&gt;=66,"Above 65")</f>
        <v>51-65</v>
      </c>
      <c r="O965" s="6"/>
    </row>
    <row r="966" spans="1:15" x14ac:dyDescent="0.35">
      <c r="A966" t="s">
        <v>1692</v>
      </c>
      <c r="B966" t="s">
        <v>1693</v>
      </c>
      <c r="C966">
        <v>70</v>
      </c>
      <c r="D966" t="s">
        <v>18</v>
      </c>
      <c r="E966" s="5">
        <v>45738</v>
      </c>
      <c r="F966" s="5">
        <v>45748</v>
      </c>
      <c r="G966">
        <f t="shared" si="30"/>
        <v>10</v>
      </c>
      <c r="H966" t="s">
        <v>13</v>
      </c>
      <c r="I966" t="s">
        <v>102</v>
      </c>
      <c r="J966" s="2">
        <v>19302.61</v>
      </c>
      <c r="K966" s="6">
        <v>1</v>
      </c>
      <c r="L966" t="s">
        <v>25</v>
      </c>
      <c r="M966" s="3">
        <f t="shared" si="31"/>
        <v>0</v>
      </c>
      <c r="N966" s="9" t="str" cm="1">
        <f t="array" ref="N966">_xlfn.IFS(C966&lt;18,"Under 18",C966&lt;36,"18-35",C966&lt;51,"36-50",C966&lt;66,"51-65",C966&gt;=66,"Above 65")</f>
        <v>Above 65</v>
      </c>
      <c r="O966" s="6"/>
    </row>
    <row r="967" spans="1:15" x14ac:dyDescent="0.35">
      <c r="A967" t="s">
        <v>1694</v>
      </c>
      <c r="B967" t="s">
        <v>1538</v>
      </c>
      <c r="C967">
        <v>68</v>
      </c>
      <c r="D967" t="s">
        <v>18</v>
      </c>
      <c r="E967" s="5">
        <v>45791</v>
      </c>
      <c r="F967" s="5">
        <v>45797</v>
      </c>
      <c r="G967">
        <f t="shared" si="30"/>
        <v>6</v>
      </c>
      <c r="H967" t="s">
        <v>31</v>
      </c>
      <c r="I967" t="s">
        <v>114</v>
      </c>
      <c r="J967" s="2">
        <v>4686.18</v>
      </c>
      <c r="K967" s="6">
        <v>1</v>
      </c>
      <c r="L967" t="s">
        <v>15</v>
      </c>
      <c r="M967" s="3">
        <f t="shared" si="31"/>
        <v>4686.18</v>
      </c>
      <c r="N967" s="9" t="str" cm="1">
        <f t="array" ref="N967">_xlfn.IFS(C967&lt;18,"Under 18",C967&lt;36,"18-35",C967&lt;51,"36-50",C967&lt;66,"51-65",C967&gt;=66,"Above 65")</f>
        <v>Above 65</v>
      </c>
      <c r="O967" s="6"/>
    </row>
    <row r="968" spans="1:15" x14ac:dyDescent="0.35">
      <c r="A968" t="s">
        <v>1695</v>
      </c>
      <c r="B968" t="s">
        <v>1696</v>
      </c>
      <c r="C968">
        <v>7</v>
      </c>
      <c r="D968" t="s">
        <v>18</v>
      </c>
      <c r="E968" s="5">
        <v>45923</v>
      </c>
      <c r="F968" s="5">
        <v>45926</v>
      </c>
      <c r="G968">
        <f t="shared" si="30"/>
        <v>3</v>
      </c>
      <c r="H968" t="s">
        <v>49</v>
      </c>
      <c r="I968" t="s">
        <v>378</v>
      </c>
      <c r="J968" s="2">
        <v>3301.8</v>
      </c>
      <c r="K968" s="6">
        <v>0.7</v>
      </c>
      <c r="L968" t="s">
        <v>25</v>
      </c>
      <c r="M968" s="3">
        <f t="shared" si="31"/>
        <v>0</v>
      </c>
      <c r="N968" s="9" t="str" cm="1">
        <f t="array" ref="N968">_xlfn.IFS(C968&lt;18,"Under 18",C968&lt;36,"18-35",C968&lt;51,"36-50",C968&lt;66,"51-65",C968&gt;=66,"Above 65")</f>
        <v>Under 18</v>
      </c>
      <c r="O968" s="6"/>
    </row>
    <row r="969" spans="1:15" x14ac:dyDescent="0.35">
      <c r="A969" t="s">
        <v>1697</v>
      </c>
      <c r="B969" t="s">
        <v>392</v>
      </c>
      <c r="C969">
        <v>57</v>
      </c>
      <c r="D969" t="s">
        <v>18</v>
      </c>
      <c r="E969" s="5">
        <v>45596</v>
      </c>
      <c r="F969" s="5">
        <v>45599</v>
      </c>
      <c r="G969">
        <f t="shared" si="30"/>
        <v>3</v>
      </c>
      <c r="H969" t="s">
        <v>60</v>
      </c>
      <c r="I969" t="s">
        <v>61</v>
      </c>
      <c r="J969" s="2">
        <v>5980.45</v>
      </c>
      <c r="K969" s="6">
        <v>1</v>
      </c>
      <c r="L969" t="s">
        <v>15</v>
      </c>
      <c r="M969" s="3">
        <f t="shared" si="31"/>
        <v>5980.45</v>
      </c>
      <c r="N969" s="9" t="str" cm="1">
        <f t="array" ref="N969">_xlfn.IFS(C969&lt;18,"Under 18",C969&lt;36,"18-35",C969&lt;51,"36-50",C969&lt;66,"51-65",C969&gt;=66,"Above 65")</f>
        <v>51-65</v>
      </c>
      <c r="O969" s="6"/>
    </row>
    <row r="970" spans="1:15" x14ac:dyDescent="0.35">
      <c r="A970" t="s">
        <v>1698</v>
      </c>
      <c r="B970" t="s">
        <v>1699</v>
      </c>
      <c r="C970">
        <v>34</v>
      </c>
      <c r="D970" t="s">
        <v>18</v>
      </c>
      <c r="E970" s="5">
        <v>45932</v>
      </c>
      <c r="F970" s="5">
        <v>45936</v>
      </c>
      <c r="G970">
        <f t="shared" si="30"/>
        <v>4</v>
      </c>
      <c r="H970" t="s">
        <v>31</v>
      </c>
      <c r="I970" t="s">
        <v>53</v>
      </c>
      <c r="J970" s="2">
        <v>5054.45</v>
      </c>
      <c r="K970" s="6">
        <v>0.6</v>
      </c>
      <c r="L970" t="s">
        <v>20</v>
      </c>
      <c r="M970" s="3">
        <f t="shared" si="31"/>
        <v>0</v>
      </c>
      <c r="N970" s="9" t="str" cm="1">
        <f t="array" ref="N970">_xlfn.IFS(C970&lt;18,"Under 18",C970&lt;36,"18-35",C970&lt;51,"36-50",C970&lt;66,"51-65",C970&gt;=66,"Above 65")</f>
        <v>18-35</v>
      </c>
      <c r="O970" s="6"/>
    </row>
    <row r="971" spans="1:15" x14ac:dyDescent="0.35">
      <c r="A971" t="s">
        <v>1700</v>
      </c>
      <c r="B971" t="s">
        <v>1701</v>
      </c>
      <c r="C971">
        <v>52</v>
      </c>
      <c r="D971" t="s">
        <v>12</v>
      </c>
      <c r="E971" s="5">
        <v>45876</v>
      </c>
      <c r="F971" s="5">
        <v>45878</v>
      </c>
      <c r="G971">
        <f t="shared" si="30"/>
        <v>2</v>
      </c>
      <c r="H971" t="s">
        <v>23</v>
      </c>
      <c r="I971" t="s">
        <v>204</v>
      </c>
      <c r="J971" s="2">
        <v>3102.51</v>
      </c>
      <c r="K971" s="6">
        <v>0.9</v>
      </c>
      <c r="L971" t="s">
        <v>15</v>
      </c>
      <c r="M971" s="3">
        <f t="shared" si="31"/>
        <v>3102.51</v>
      </c>
      <c r="N971" s="9" t="str" cm="1">
        <f t="array" ref="N971">_xlfn.IFS(C971&lt;18,"Under 18",C971&lt;36,"18-35",C971&lt;51,"36-50",C971&lt;66,"51-65",C971&gt;=66,"Above 65")</f>
        <v>51-65</v>
      </c>
      <c r="O971" s="6"/>
    </row>
    <row r="972" spans="1:15" x14ac:dyDescent="0.35">
      <c r="A972" t="s">
        <v>1702</v>
      </c>
      <c r="B972" t="s">
        <v>496</v>
      </c>
      <c r="C972">
        <v>66</v>
      </c>
      <c r="D972" t="s">
        <v>12</v>
      </c>
      <c r="E972" s="5">
        <v>45669</v>
      </c>
      <c r="F972" s="5">
        <v>45676</v>
      </c>
      <c r="G972">
        <f t="shared" si="30"/>
        <v>7</v>
      </c>
      <c r="H972" t="s">
        <v>60</v>
      </c>
      <c r="I972" t="s">
        <v>97</v>
      </c>
      <c r="J972" s="2">
        <v>7068.71</v>
      </c>
      <c r="K972" s="6">
        <v>0.7</v>
      </c>
      <c r="L972" t="s">
        <v>25</v>
      </c>
      <c r="M972" s="3">
        <f t="shared" si="31"/>
        <v>0</v>
      </c>
      <c r="N972" s="9" t="str" cm="1">
        <f t="array" ref="N972">_xlfn.IFS(C972&lt;18,"Under 18",C972&lt;36,"18-35",C972&lt;51,"36-50",C972&lt;66,"51-65",C972&gt;=66,"Above 65")</f>
        <v>Above 65</v>
      </c>
      <c r="O972" s="6"/>
    </row>
    <row r="973" spans="1:15" x14ac:dyDescent="0.35">
      <c r="A973" t="s">
        <v>1703</v>
      </c>
      <c r="B973" t="s">
        <v>1704</v>
      </c>
      <c r="C973">
        <v>59</v>
      </c>
      <c r="D973" t="s">
        <v>12</v>
      </c>
      <c r="E973" s="5">
        <v>45376</v>
      </c>
      <c r="F973" s="5">
        <v>45380</v>
      </c>
      <c r="G973">
        <f t="shared" si="30"/>
        <v>4</v>
      </c>
      <c r="H973" t="s">
        <v>60</v>
      </c>
      <c r="I973" t="s">
        <v>74</v>
      </c>
      <c r="J973" s="2">
        <v>7018.51</v>
      </c>
      <c r="K973" s="6">
        <v>0.8</v>
      </c>
      <c r="L973" t="s">
        <v>15</v>
      </c>
      <c r="M973" s="3">
        <f t="shared" si="31"/>
        <v>7018.51</v>
      </c>
      <c r="N973" s="9" t="str" cm="1">
        <f t="array" ref="N973">_xlfn.IFS(C973&lt;18,"Under 18",C973&lt;36,"18-35",C973&lt;51,"36-50",C973&lt;66,"51-65",C973&gt;=66,"Above 65")</f>
        <v>51-65</v>
      </c>
      <c r="O973" s="6"/>
    </row>
    <row r="974" spans="1:15" x14ac:dyDescent="0.35">
      <c r="A974" t="s">
        <v>1705</v>
      </c>
      <c r="B974" t="s">
        <v>1706</v>
      </c>
      <c r="C974">
        <v>17</v>
      </c>
      <c r="D974" t="s">
        <v>18</v>
      </c>
      <c r="E974" s="5">
        <v>45625</v>
      </c>
      <c r="F974" s="5">
        <v>45626</v>
      </c>
      <c r="G974">
        <f t="shared" si="30"/>
        <v>1</v>
      </c>
      <c r="H974" t="s">
        <v>49</v>
      </c>
      <c r="I974" t="s">
        <v>120</v>
      </c>
      <c r="J974" s="2">
        <v>895.4</v>
      </c>
      <c r="K974" s="6">
        <v>0.7</v>
      </c>
      <c r="L974" t="s">
        <v>20</v>
      </c>
      <c r="M974" s="3">
        <f t="shared" si="31"/>
        <v>0</v>
      </c>
      <c r="N974" s="9" t="str" cm="1">
        <f t="array" ref="N974">_xlfn.IFS(C974&lt;18,"Under 18",C974&lt;36,"18-35",C974&lt;51,"36-50",C974&lt;66,"51-65",C974&gt;=66,"Above 65")</f>
        <v>Under 18</v>
      </c>
      <c r="O974" s="6"/>
    </row>
    <row r="975" spans="1:15" x14ac:dyDescent="0.35">
      <c r="A975" t="s">
        <v>1707</v>
      </c>
      <c r="B975" t="s">
        <v>1530</v>
      </c>
      <c r="C975">
        <v>25</v>
      </c>
      <c r="D975" t="s">
        <v>18</v>
      </c>
      <c r="E975" s="5">
        <v>45853</v>
      </c>
      <c r="F975" s="5">
        <v>45858</v>
      </c>
      <c r="G975">
        <f t="shared" si="30"/>
        <v>5</v>
      </c>
      <c r="H975" t="s">
        <v>31</v>
      </c>
      <c r="I975" t="s">
        <v>44</v>
      </c>
      <c r="J975" s="2">
        <v>5857.12</v>
      </c>
      <c r="K975" s="6">
        <v>0.7</v>
      </c>
      <c r="L975" t="s">
        <v>15</v>
      </c>
      <c r="M975" s="3">
        <f t="shared" si="31"/>
        <v>5857.12</v>
      </c>
      <c r="N975" s="9" t="str" cm="1">
        <f t="array" ref="N975">_xlfn.IFS(C975&lt;18,"Under 18",C975&lt;36,"18-35",C975&lt;51,"36-50",C975&lt;66,"51-65",C975&gt;=66,"Above 65")</f>
        <v>18-35</v>
      </c>
      <c r="O975" s="6"/>
    </row>
    <row r="976" spans="1:15" x14ac:dyDescent="0.35">
      <c r="A976" t="s">
        <v>1708</v>
      </c>
      <c r="B976" t="s">
        <v>478</v>
      </c>
      <c r="C976">
        <v>22</v>
      </c>
      <c r="D976" t="s">
        <v>18</v>
      </c>
      <c r="E976" s="5">
        <v>45923</v>
      </c>
      <c r="F976" s="5">
        <v>45926</v>
      </c>
      <c r="G976">
        <f t="shared" si="30"/>
        <v>3</v>
      </c>
      <c r="H976" t="s">
        <v>23</v>
      </c>
      <c r="I976" t="s">
        <v>82</v>
      </c>
      <c r="J976" s="2">
        <v>5212.57</v>
      </c>
      <c r="K976" s="6">
        <v>0.9</v>
      </c>
      <c r="L976" t="s">
        <v>15</v>
      </c>
      <c r="M976" s="3">
        <f t="shared" si="31"/>
        <v>5212.57</v>
      </c>
      <c r="N976" s="9" t="str" cm="1">
        <f t="array" ref="N976">_xlfn.IFS(C976&lt;18,"Under 18",C976&lt;36,"18-35",C976&lt;51,"36-50",C976&lt;66,"51-65",C976&gt;=66,"Above 65")</f>
        <v>18-35</v>
      </c>
      <c r="O976" s="6"/>
    </row>
    <row r="977" spans="1:15" x14ac:dyDescent="0.35">
      <c r="A977" t="s">
        <v>1709</v>
      </c>
      <c r="B977" t="s">
        <v>280</v>
      </c>
      <c r="C977">
        <v>73</v>
      </c>
      <c r="D977" t="s">
        <v>12</v>
      </c>
      <c r="E977" s="5">
        <v>45654</v>
      </c>
      <c r="F977" s="5">
        <v>45661</v>
      </c>
      <c r="G977">
        <f t="shared" si="30"/>
        <v>7</v>
      </c>
      <c r="H977" t="s">
        <v>13</v>
      </c>
      <c r="I977" t="s">
        <v>165</v>
      </c>
      <c r="J977" s="2">
        <v>18256.04</v>
      </c>
      <c r="K977" s="6">
        <v>0.7</v>
      </c>
      <c r="L977" t="s">
        <v>20</v>
      </c>
      <c r="M977" s="3">
        <f t="shared" si="31"/>
        <v>0</v>
      </c>
      <c r="N977" s="9" t="str" cm="1">
        <f t="array" ref="N977">_xlfn.IFS(C977&lt;18,"Under 18",C977&lt;36,"18-35",C977&lt;51,"36-50",C977&lt;66,"51-65",C977&gt;=66,"Above 65")</f>
        <v>Above 65</v>
      </c>
      <c r="O977" s="6"/>
    </row>
    <row r="978" spans="1:15" x14ac:dyDescent="0.35">
      <c r="A978" t="s">
        <v>1710</v>
      </c>
      <c r="B978" t="s">
        <v>1711</v>
      </c>
      <c r="C978">
        <v>40</v>
      </c>
      <c r="D978" t="s">
        <v>18</v>
      </c>
      <c r="E978" s="5">
        <v>45751</v>
      </c>
      <c r="F978" s="5">
        <v>45761</v>
      </c>
      <c r="G978">
        <f t="shared" si="30"/>
        <v>10</v>
      </c>
      <c r="H978" t="s">
        <v>13</v>
      </c>
      <c r="I978" t="s">
        <v>14</v>
      </c>
      <c r="J978" s="2">
        <v>22950.92</v>
      </c>
      <c r="K978" s="6">
        <v>0.8</v>
      </c>
      <c r="L978" t="s">
        <v>15</v>
      </c>
      <c r="M978" s="3">
        <f t="shared" si="31"/>
        <v>22950.92</v>
      </c>
      <c r="N978" s="9" t="str" cm="1">
        <f t="array" ref="N978">_xlfn.IFS(C978&lt;18,"Under 18",C978&lt;36,"18-35",C978&lt;51,"36-50",C978&lt;66,"51-65",C978&gt;=66,"Above 65")</f>
        <v>36-50</v>
      </c>
      <c r="O978" s="6"/>
    </row>
    <row r="979" spans="1:15" x14ac:dyDescent="0.35">
      <c r="A979" t="s">
        <v>1712</v>
      </c>
      <c r="B979" t="s">
        <v>189</v>
      </c>
      <c r="C979">
        <v>65</v>
      </c>
      <c r="D979" t="s">
        <v>12</v>
      </c>
      <c r="E979" s="5">
        <v>45649</v>
      </c>
      <c r="F979" s="5">
        <v>45656</v>
      </c>
      <c r="G979">
        <f t="shared" si="30"/>
        <v>7</v>
      </c>
      <c r="H979" t="s">
        <v>31</v>
      </c>
      <c r="I979" t="s">
        <v>114</v>
      </c>
      <c r="J979" s="2">
        <v>9174.23</v>
      </c>
      <c r="K979" s="6">
        <v>0.6</v>
      </c>
      <c r="L979" t="s">
        <v>25</v>
      </c>
      <c r="M979" s="3">
        <f t="shared" si="31"/>
        <v>0</v>
      </c>
      <c r="N979" s="9" t="str" cm="1">
        <f t="array" ref="N979">_xlfn.IFS(C979&lt;18,"Under 18",C979&lt;36,"18-35",C979&lt;51,"36-50",C979&lt;66,"51-65",C979&gt;=66,"Above 65")</f>
        <v>51-65</v>
      </c>
      <c r="O979" s="6"/>
    </row>
    <row r="980" spans="1:15" x14ac:dyDescent="0.35">
      <c r="A980" t="s">
        <v>1713</v>
      </c>
      <c r="B980" t="s">
        <v>129</v>
      </c>
      <c r="C980">
        <v>18</v>
      </c>
      <c r="D980" t="s">
        <v>18</v>
      </c>
      <c r="E980" s="5">
        <v>45900</v>
      </c>
      <c r="F980" s="5">
        <v>45903</v>
      </c>
      <c r="G980">
        <f t="shared" si="30"/>
        <v>3</v>
      </c>
      <c r="H980" t="s">
        <v>31</v>
      </c>
      <c r="I980" t="s">
        <v>234</v>
      </c>
      <c r="J980" s="2">
        <v>2502.7600000000002</v>
      </c>
      <c r="K980" s="6">
        <v>0.8</v>
      </c>
      <c r="L980" t="s">
        <v>15</v>
      </c>
      <c r="M980" s="3">
        <f t="shared" si="31"/>
        <v>2502.7600000000002</v>
      </c>
      <c r="N980" s="9" t="str" cm="1">
        <f t="array" ref="N980">_xlfn.IFS(C980&lt;18,"Under 18",C980&lt;36,"18-35",C980&lt;51,"36-50",C980&lt;66,"51-65",C980&gt;=66,"Above 65")</f>
        <v>18-35</v>
      </c>
      <c r="O980" s="6"/>
    </row>
    <row r="981" spans="1:15" x14ac:dyDescent="0.35">
      <c r="A981" t="s">
        <v>1714</v>
      </c>
      <c r="B981" t="s">
        <v>406</v>
      </c>
      <c r="C981">
        <v>43</v>
      </c>
      <c r="D981" t="s">
        <v>12</v>
      </c>
      <c r="E981" s="5">
        <v>45929</v>
      </c>
      <c r="F981" s="5">
        <v>45932</v>
      </c>
      <c r="G981">
        <f t="shared" si="30"/>
        <v>3</v>
      </c>
      <c r="H981" t="s">
        <v>23</v>
      </c>
      <c r="I981" t="s">
        <v>204</v>
      </c>
      <c r="J981" s="2">
        <v>6927.74</v>
      </c>
      <c r="K981" s="6">
        <v>0.9</v>
      </c>
      <c r="L981" t="s">
        <v>15</v>
      </c>
      <c r="M981" s="3">
        <f t="shared" si="31"/>
        <v>6927.74</v>
      </c>
      <c r="N981" s="9" t="str" cm="1">
        <f t="array" ref="N981">_xlfn.IFS(C981&lt;18,"Under 18",C981&lt;36,"18-35",C981&lt;51,"36-50",C981&lt;66,"51-65",C981&gt;=66,"Above 65")</f>
        <v>36-50</v>
      </c>
      <c r="O981" s="6"/>
    </row>
    <row r="982" spans="1:15" x14ac:dyDescent="0.35">
      <c r="A982" t="s">
        <v>1715</v>
      </c>
      <c r="B982" t="s">
        <v>693</v>
      </c>
      <c r="C982">
        <v>54</v>
      </c>
      <c r="D982" t="s">
        <v>18</v>
      </c>
      <c r="E982" s="5">
        <v>45539</v>
      </c>
      <c r="F982" s="5">
        <v>45544</v>
      </c>
      <c r="G982">
        <f t="shared" si="30"/>
        <v>5</v>
      </c>
      <c r="H982" t="s">
        <v>31</v>
      </c>
      <c r="I982" t="s">
        <v>44</v>
      </c>
      <c r="J982" s="2">
        <v>4663.1899999999996</v>
      </c>
      <c r="K982" s="6">
        <v>0.8</v>
      </c>
      <c r="L982" t="s">
        <v>15</v>
      </c>
      <c r="M982" s="3">
        <f t="shared" si="31"/>
        <v>4663.1899999999996</v>
      </c>
      <c r="N982" s="9" t="str" cm="1">
        <f t="array" ref="N982">_xlfn.IFS(C982&lt;18,"Under 18",C982&lt;36,"18-35",C982&lt;51,"36-50",C982&lt;66,"51-65",C982&gt;=66,"Above 65")</f>
        <v>51-65</v>
      </c>
      <c r="O982" s="6"/>
    </row>
    <row r="983" spans="1:15" x14ac:dyDescent="0.35">
      <c r="A983" t="s">
        <v>1716</v>
      </c>
      <c r="B983" t="s">
        <v>1717</v>
      </c>
      <c r="C983">
        <v>55</v>
      </c>
      <c r="D983" t="s">
        <v>18</v>
      </c>
      <c r="E983" s="5">
        <v>45596</v>
      </c>
      <c r="F983" s="5">
        <v>45604</v>
      </c>
      <c r="G983">
        <f t="shared" si="30"/>
        <v>8</v>
      </c>
      <c r="H983" t="s">
        <v>60</v>
      </c>
      <c r="I983" t="s">
        <v>61</v>
      </c>
      <c r="J983" s="2">
        <v>20435.29</v>
      </c>
      <c r="K983" s="6">
        <v>0.7</v>
      </c>
      <c r="L983" t="s">
        <v>25</v>
      </c>
      <c r="M983" s="3">
        <f t="shared" si="31"/>
        <v>0</v>
      </c>
      <c r="N983" s="9" t="str" cm="1">
        <f t="array" ref="N983">_xlfn.IFS(C983&lt;18,"Under 18",C983&lt;36,"18-35",C983&lt;51,"36-50",C983&lt;66,"51-65",C983&gt;=66,"Above 65")</f>
        <v>51-65</v>
      </c>
      <c r="O983" s="6"/>
    </row>
    <row r="984" spans="1:15" x14ac:dyDescent="0.35">
      <c r="A984" t="s">
        <v>1718</v>
      </c>
      <c r="B984" t="s">
        <v>386</v>
      </c>
      <c r="C984">
        <v>81</v>
      </c>
      <c r="D984" t="s">
        <v>18</v>
      </c>
      <c r="E984" s="5">
        <v>46009</v>
      </c>
      <c r="F984" s="5">
        <v>46011</v>
      </c>
      <c r="G984">
        <f t="shared" si="30"/>
        <v>2</v>
      </c>
      <c r="H984" t="s">
        <v>31</v>
      </c>
      <c r="I984" t="s">
        <v>44</v>
      </c>
      <c r="J984" s="2">
        <v>1278.31</v>
      </c>
      <c r="K984" s="6">
        <v>0.6</v>
      </c>
      <c r="L984" t="s">
        <v>20</v>
      </c>
      <c r="M984" s="3">
        <f t="shared" si="31"/>
        <v>0</v>
      </c>
      <c r="N984" s="9" t="str" cm="1">
        <f t="array" ref="N984">_xlfn.IFS(C984&lt;18,"Under 18",C984&lt;36,"18-35",C984&lt;51,"36-50",C984&lt;66,"51-65",C984&gt;=66,"Above 65")</f>
        <v>Above 65</v>
      </c>
      <c r="O984" s="6"/>
    </row>
    <row r="985" spans="1:15" x14ac:dyDescent="0.35">
      <c r="A985" t="s">
        <v>1719</v>
      </c>
      <c r="B985" t="s">
        <v>1059</v>
      </c>
      <c r="C985">
        <v>44</v>
      </c>
      <c r="D985" t="s">
        <v>12</v>
      </c>
      <c r="E985" s="5">
        <v>45675</v>
      </c>
      <c r="F985" s="5">
        <v>45678</v>
      </c>
      <c r="G985">
        <f t="shared" si="30"/>
        <v>3</v>
      </c>
      <c r="H985" t="s">
        <v>23</v>
      </c>
      <c r="I985" t="s">
        <v>221</v>
      </c>
      <c r="J985" s="2">
        <v>6875.52</v>
      </c>
      <c r="K985" s="6">
        <v>0.7</v>
      </c>
      <c r="L985" t="s">
        <v>15</v>
      </c>
      <c r="M985" s="3">
        <f t="shared" si="31"/>
        <v>6875.52</v>
      </c>
      <c r="N985" s="9" t="str" cm="1">
        <f t="array" ref="N985">_xlfn.IFS(C985&lt;18,"Under 18",C985&lt;36,"18-35",C985&lt;51,"36-50",C985&lt;66,"51-65",C985&gt;=66,"Above 65")</f>
        <v>36-50</v>
      </c>
      <c r="O985" s="6"/>
    </row>
    <row r="986" spans="1:15" x14ac:dyDescent="0.35">
      <c r="A986" t="s">
        <v>1720</v>
      </c>
      <c r="B986" t="s">
        <v>1418</v>
      </c>
      <c r="C986">
        <v>57</v>
      </c>
      <c r="D986" t="s">
        <v>18</v>
      </c>
      <c r="E986" s="5">
        <v>45515</v>
      </c>
      <c r="F986" s="5">
        <v>45521</v>
      </c>
      <c r="G986">
        <f t="shared" si="30"/>
        <v>6</v>
      </c>
      <c r="H986" t="s">
        <v>70</v>
      </c>
      <c r="I986" t="s">
        <v>157</v>
      </c>
      <c r="J986" s="2">
        <v>14894.02</v>
      </c>
      <c r="K986" s="6">
        <v>0.6</v>
      </c>
      <c r="L986" t="s">
        <v>15</v>
      </c>
      <c r="M986" s="3">
        <f t="shared" si="31"/>
        <v>14894.02</v>
      </c>
      <c r="N986" s="9" t="str" cm="1">
        <f t="array" ref="N986">_xlfn.IFS(C986&lt;18,"Under 18",C986&lt;36,"18-35",C986&lt;51,"36-50",C986&lt;66,"51-65",C986&gt;=66,"Above 65")</f>
        <v>51-65</v>
      </c>
      <c r="O986" s="6"/>
    </row>
    <row r="987" spans="1:15" x14ac:dyDescent="0.35">
      <c r="A987" t="s">
        <v>1721</v>
      </c>
      <c r="B987" t="s">
        <v>1163</v>
      </c>
      <c r="C987">
        <v>55</v>
      </c>
      <c r="D987" t="s">
        <v>18</v>
      </c>
      <c r="E987" s="5">
        <v>45817</v>
      </c>
      <c r="F987" s="5">
        <v>45825</v>
      </c>
      <c r="G987">
        <f t="shared" si="30"/>
        <v>8</v>
      </c>
      <c r="H987" t="s">
        <v>60</v>
      </c>
      <c r="I987" t="s">
        <v>142</v>
      </c>
      <c r="J987" s="2">
        <v>16185.6</v>
      </c>
      <c r="K987" s="6">
        <v>1</v>
      </c>
      <c r="L987" t="s">
        <v>15</v>
      </c>
      <c r="M987" s="3">
        <f t="shared" si="31"/>
        <v>16185.6</v>
      </c>
      <c r="N987" s="9" t="str" cm="1">
        <f t="array" ref="N987">_xlfn.IFS(C987&lt;18,"Under 18",C987&lt;36,"18-35",C987&lt;51,"36-50",C987&lt;66,"51-65",C987&gt;=66,"Above 65")</f>
        <v>51-65</v>
      </c>
      <c r="O987" s="6"/>
    </row>
    <row r="988" spans="1:15" x14ac:dyDescent="0.35">
      <c r="A988" t="s">
        <v>1722</v>
      </c>
      <c r="B988" t="s">
        <v>1355</v>
      </c>
      <c r="C988">
        <v>64</v>
      </c>
      <c r="D988" t="s">
        <v>18</v>
      </c>
      <c r="E988" s="5">
        <v>45540</v>
      </c>
      <c r="F988" s="5">
        <v>45544</v>
      </c>
      <c r="G988">
        <f t="shared" si="30"/>
        <v>4</v>
      </c>
      <c r="H988" t="s">
        <v>31</v>
      </c>
      <c r="I988" t="s">
        <v>35</v>
      </c>
      <c r="J988" s="2">
        <v>4017.98</v>
      </c>
      <c r="K988" s="6">
        <v>1</v>
      </c>
      <c r="L988" t="s">
        <v>15</v>
      </c>
      <c r="M988" s="3">
        <f t="shared" si="31"/>
        <v>4017.98</v>
      </c>
      <c r="N988" s="9" t="str" cm="1">
        <f t="array" ref="N988">_xlfn.IFS(C988&lt;18,"Under 18",C988&lt;36,"18-35",C988&lt;51,"36-50",C988&lt;66,"51-65",C988&gt;=66,"Above 65")</f>
        <v>51-65</v>
      </c>
      <c r="O988" s="6"/>
    </row>
    <row r="989" spans="1:15" x14ac:dyDescent="0.35">
      <c r="A989" t="s">
        <v>1723</v>
      </c>
      <c r="B989" t="s">
        <v>1724</v>
      </c>
      <c r="C989">
        <v>1</v>
      </c>
      <c r="D989" t="s">
        <v>18</v>
      </c>
      <c r="E989" s="5">
        <v>45893</v>
      </c>
      <c r="F989" s="5">
        <v>45895</v>
      </c>
      <c r="G989">
        <f t="shared" si="30"/>
        <v>2</v>
      </c>
      <c r="H989" t="s">
        <v>49</v>
      </c>
      <c r="I989" t="s">
        <v>123</v>
      </c>
      <c r="J989" s="2">
        <v>1260.77</v>
      </c>
      <c r="K989" s="6">
        <v>0.8</v>
      </c>
      <c r="L989" t="s">
        <v>20</v>
      </c>
      <c r="M989" s="3">
        <f t="shared" si="31"/>
        <v>0</v>
      </c>
      <c r="N989" s="9" t="str" cm="1">
        <f t="array" ref="N989">_xlfn.IFS(C989&lt;18,"Under 18",C989&lt;36,"18-35",C989&lt;51,"36-50",C989&lt;66,"51-65",C989&gt;=66,"Above 65")</f>
        <v>Under 18</v>
      </c>
      <c r="O989" s="6"/>
    </row>
    <row r="990" spans="1:15" x14ac:dyDescent="0.35">
      <c r="A990" t="s">
        <v>1725</v>
      </c>
      <c r="B990" t="s">
        <v>1726</v>
      </c>
      <c r="C990">
        <v>14</v>
      </c>
      <c r="D990" t="s">
        <v>18</v>
      </c>
      <c r="E990" s="5">
        <v>45923</v>
      </c>
      <c r="F990" s="5">
        <v>45925</v>
      </c>
      <c r="G990">
        <f t="shared" si="30"/>
        <v>2</v>
      </c>
      <c r="H990" t="s">
        <v>49</v>
      </c>
      <c r="I990" t="s">
        <v>378</v>
      </c>
      <c r="J990" s="2">
        <v>2626.23</v>
      </c>
      <c r="K990" s="6">
        <v>0.6</v>
      </c>
      <c r="L990" t="s">
        <v>20</v>
      </c>
      <c r="M990" s="3">
        <f t="shared" si="31"/>
        <v>0</v>
      </c>
      <c r="N990" s="9" t="str" cm="1">
        <f t="array" ref="N990">_xlfn.IFS(C990&lt;18,"Under 18",C990&lt;36,"18-35",C990&lt;51,"36-50",C990&lt;66,"51-65",C990&gt;=66,"Above 65")</f>
        <v>Under 18</v>
      </c>
      <c r="O990" s="6"/>
    </row>
    <row r="991" spans="1:15" x14ac:dyDescent="0.35">
      <c r="A991" t="s">
        <v>1727</v>
      </c>
      <c r="B991" t="s">
        <v>1728</v>
      </c>
      <c r="C991">
        <v>14</v>
      </c>
      <c r="D991" t="s">
        <v>12</v>
      </c>
      <c r="E991" s="5">
        <v>45484</v>
      </c>
      <c r="F991" s="5">
        <v>45485</v>
      </c>
      <c r="G991">
        <f t="shared" si="30"/>
        <v>1</v>
      </c>
      <c r="H991" t="s">
        <v>49</v>
      </c>
      <c r="I991" t="s">
        <v>117</v>
      </c>
      <c r="J991" s="2">
        <v>713.28</v>
      </c>
      <c r="K991" s="6">
        <v>0</v>
      </c>
      <c r="L991" t="s">
        <v>25</v>
      </c>
      <c r="M991" s="3">
        <f t="shared" si="31"/>
        <v>0</v>
      </c>
      <c r="N991" s="9" t="str" cm="1">
        <f t="array" ref="N991">_xlfn.IFS(C991&lt;18,"Under 18",C991&lt;36,"18-35",C991&lt;51,"36-50",C991&lt;66,"51-65",C991&gt;=66,"Above 65")</f>
        <v>Under 18</v>
      </c>
      <c r="O991" s="6"/>
    </row>
    <row r="992" spans="1:15" x14ac:dyDescent="0.35">
      <c r="A992" t="s">
        <v>1729</v>
      </c>
      <c r="B992" t="s">
        <v>510</v>
      </c>
      <c r="C992">
        <v>64</v>
      </c>
      <c r="D992" t="s">
        <v>18</v>
      </c>
      <c r="E992" s="5">
        <v>45592</v>
      </c>
      <c r="F992" s="5">
        <v>45596</v>
      </c>
      <c r="G992">
        <f t="shared" si="30"/>
        <v>4</v>
      </c>
      <c r="H992" t="s">
        <v>31</v>
      </c>
      <c r="I992" t="s">
        <v>53</v>
      </c>
      <c r="J992" s="2">
        <v>5579.15</v>
      </c>
      <c r="K992" s="6">
        <v>0.6</v>
      </c>
      <c r="L992" t="s">
        <v>20</v>
      </c>
      <c r="M992" s="3">
        <f t="shared" si="31"/>
        <v>0</v>
      </c>
      <c r="N992" s="9" t="str" cm="1">
        <f t="array" ref="N992">_xlfn.IFS(C992&lt;18,"Under 18",C992&lt;36,"18-35",C992&lt;51,"36-50",C992&lt;66,"51-65",C992&gt;=66,"Above 65")</f>
        <v>51-65</v>
      </c>
      <c r="O992" s="6"/>
    </row>
    <row r="993" spans="1:15" x14ac:dyDescent="0.35">
      <c r="A993" t="s">
        <v>1730</v>
      </c>
      <c r="B993" t="s">
        <v>1731</v>
      </c>
      <c r="C993">
        <v>2</v>
      </c>
      <c r="D993" t="s">
        <v>18</v>
      </c>
      <c r="E993" s="5">
        <v>45992</v>
      </c>
      <c r="F993" s="5">
        <v>45995</v>
      </c>
      <c r="G993">
        <f t="shared" si="30"/>
        <v>3</v>
      </c>
      <c r="H993" t="s">
        <v>49</v>
      </c>
      <c r="I993" t="s">
        <v>130</v>
      </c>
      <c r="J993" s="2">
        <v>3033.99</v>
      </c>
      <c r="K993" s="6">
        <v>0.8</v>
      </c>
      <c r="L993" t="s">
        <v>15</v>
      </c>
      <c r="M993" s="3">
        <f t="shared" si="31"/>
        <v>3033.99</v>
      </c>
      <c r="N993" s="9" t="str" cm="1">
        <f t="array" ref="N993">_xlfn.IFS(C993&lt;18,"Under 18",C993&lt;36,"18-35",C993&lt;51,"36-50",C993&lt;66,"51-65",C993&gt;=66,"Above 65")</f>
        <v>Under 18</v>
      </c>
      <c r="O993" s="6"/>
    </row>
    <row r="994" spans="1:15" x14ac:dyDescent="0.35">
      <c r="A994" t="s">
        <v>1732</v>
      </c>
      <c r="B994" t="s">
        <v>482</v>
      </c>
      <c r="C994">
        <v>43</v>
      </c>
      <c r="D994" t="s">
        <v>12</v>
      </c>
      <c r="E994" s="5">
        <v>45981</v>
      </c>
      <c r="F994" s="5">
        <v>45983</v>
      </c>
      <c r="G994">
        <f t="shared" si="30"/>
        <v>2</v>
      </c>
      <c r="H994" t="s">
        <v>23</v>
      </c>
      <c r="I994" t="s">
        <v>24</v>
      </c>
      <c r="J994" s="2">
        <v>4133.9399999999996</v>
      </c>
      <c r="K994" s="6">
        <v>0.5</v>
      </c>
      <c r="L994" t="s">
        <v>15</v>
      </c>
      <c r="M994" s="3">
        <f t="shared" si="31"/>
        <v>4133.9399999999996</v>
      </c>
      <c r="N994" s="9" t="str" cm="1">
        <f t="array" ref="N994">_xlfn.IFS(C994&lt;18,"Under 18",C994&lt;36,"18-35",C994&lt;51,"36-50",C994&lt;66,"51-65",C994&gt;=66,"Above 65")</f>
        <v>36-50</v>
      </c>
      <c r="O994" s="6"/>
    </row>
    <row r="995" spans="1:15" x14ac:dyDescent="0.35">
      <c r="A995" t="s">
        <v>1733</v>
      </c>
      <c r="B995" t="s">
        <v>1734</v>
      </c>
      <c r="C995">
        <v>10</v>
      </c>
      <c r="D995" t="s">
        <v>12</v>
      </c>
      <c r="E995" s="5">
        <v>45841</v>
      </c>
      <c r="F995" s="5">
        <v>45845</v>
      </c>
      <c r="G995">
        <f t="shared" si="30"/>
        <v>4</v>
      </c>
      <c r="H995" t="s">
        <v>49</v>
      </c>
      <c r="I995" t="s">
        <v>378</v>
      </c>
      <c r="J995" s="2">
        <v>4374.76</v>
      </c>
      <c r="K995" s="6">
        <v>0.9</v>
      </c>
      <c r="L995" t="s">
        <v>25</v>
      </c>
      <c r="M995" s="3">
        <f t="shared" si="31"/>
        <v>0</v>
      </c>
      <c r="N995" s="9" t="str" cm="1">
        <f t="array" ref="N995">_xlfn.IFS(C995&lt;18,"Under 18",C995&lt;36,"18-35",C995&lt;51,"36-50",C995&lt;66,"51-65",C995&gt;=66,"Above 65")</f>
        <v>Under 18</v>
      </c>
      <c r="O995" s="6"/>
    </row>
    <row r="996" spans="1:15" x14ac:dyDescent="0.35">
      <c r="A996" t="s">
        <v>1735</v>
      </c>
      <c r="B996" t="s">
        <v>1736</v>
      </c>
      <c r="C996">
        <v>51</v>
      </c>
      <c r="D996" t="s">
        <v>18</v>
      </c>
      <c r="E996" s="5">
        <v>45568</v>
      </c>
      <c r="F996" s="5">
        <v>45571</v>
      </c>
      <c r="G996">
        <f t="shared" si="30"/>
        <v>3</v>
      </c>
      <c r="H996" t="s">
        <v>13</v>
      </c>
      <c r="I996" t="s">
        <v>14</v>
      </c>
      <c r="J996" s="2">
        <v>7839.78</v>
      </c>
      <c r="K996" s="6">
        <v>0.9</v>
      </c>
      <c r="L996" t="s">
        <v>20</v>
      </c>
      <c r="M996" s="3">
        <f t="shared" si="31"/>
        <v>0</v>
      </c>
      <c r="N996" s="9" t="str" cm="1">
        <f t="array" ref="N996">_xlfn.IFS(C996&lt;18,"Under 18",C996&lt;36,"18-35",C996&lt;51,"36-50",C996&lt;66,"51-65",C996&gt;=66,"Above 65")</f>
        <v>51-65</v>
      </c>
      <c r="O996" s="6"/>
    </row>
    <row r="997" spans="1:15" x14ac:dyDescent="0.35">
      <c r="A997" t="s">
        <v>1737</v>
      </c>
      <c r="B997" t="s">
        <v>746</v>
      </c>
      <c r="C997">
        <v>58</v>
      </c>
      <c r="D997" t="s">
        <v>12</v>
      </c>
      <c r="E997" s="5">
        <v>45817</v>
      </c>
      <c r="F997" s="5">
        <v>45821</v>
      </c>
      <c r="G997">
        <f t="shared" si="30"/>
        <v>4</v>
      </c>
      <c r="H997" t="s">
        <v>13</v>
      </c>
      <c r="I997" t="s">
        <v>102</v>
      </c>
      <c r="J997" s="2">
        <v>10021</v>
      </c>
      <c r="K997" s="6">
        <v>0.9</v>
      </c>
      <c r="L997" t="s">
        <v>15</v>
      </c>
      <c r="M997" s="3">
        <f t="shared" si="31"/>
        <v>10021</v>
      </c>
      <c r="N997" s="9" t="str" cm="1">
        <f t="array" ref="N997">_xlfn.IFS(C997&lt;18,"Under 18",C997&lt;36,"18-35",C997&lt;51,"36-50",C997&lt;66,"51-65",C997&gt;=66,"Above 65")</f>
        <v>51-65</v>
      </c>
      <c r="O997" s="6"/>
    </row>
    <row r="998" spans="1:15" x14ac:dyDescent="0.35">
      <c r="A998" t="s">
        <v>1738</v>
      </c>
      <c r="B998" t="s">
        <v>256</v>
      </c>
      <c r="C998">
        <v>75</v>
      </c>
      <c r="D998" t="s">
        <v>12</v>
      </c>
      <c r="E998" s="5">
        <v>45939</v>
      </c>
      <c r="F998" s="5">
        <v>45944</v>
      </c>
      <c r="G998">
        <f t="shared" si="30"/>
        <v>5</v>
      </c>
      <c r="H998" t="s">
        <v>31</v>
      </c>
      <c r="I998" t="s">
        <v>234</v>
      </c>
      <c r="J998" s="2">
        <v>6377.65</v>
      </c>
      <c r="K998" s="6">
        <v>0.6</v>
      </c>
      <c r="L998" t="s">
        <v>20</v>
      </c>
      <c r="M998" s="3">
        <f t="shared" si="31"/>
        <v>0</v>
      </c>
      <c r="N998" s="9" t="str" cm="1">
        <f t="array" ref="N998">_xlfn.IFS(C998&lt;18,"Under 18",C998&lt;36,"18-35",C998&lt;51,"36-50",C998&lt;66,"51-65",C998&gt;=66,"Above 65")</f>
        <v>Above 65</v>
      </c>
      <c r="O998" s="6"/>
    </row>
    <row r="999" spans="1:15" x14ac:dyDescent="0.35">
      <c r="A999" t="s">
        <v>1739</v>
      </c>
      <c r="B999" t="s">
        <v>454</v>
      </c>
      <c r="C999">
        <v>32</v>
      </c>
      <c r="D999" t="s">
        <v>18</v>
      </c>
      <c r="E999" s="5">
        <v>45769</v>
      </c>
      <c r="F999" s="5">
        <v>45770</v>
      </c>
      <c r="G999">
        <f t="shared" si="30"/>
        <v>1</v>
      </c>
      <c r="H999" t="s">
        <v>23</v>
      </c>
      <c r="I999" t="s">
        <v>221</v>
      </c>
      <c r="J999" s="2">
        <v>1020.62</v>
      </c>
      <c r="K999" s="6">
        <v>0.6</v>
      </c>
      <c r="L999" t="s">
        <v>15</v>
      </c>
      <c r="M999" s="3">
        <f t="shared" si="31"/>
        <v>1020.62</v>
      </c>
      <c r="N999" s="9" t="str" cm="1">
        <f t="array" ref="N999">_xlfn.IFS(C999&lt;18,"Under 18",C999&lt;36,"18-35",C999&lt;51,"36-50",C999&lt;66,"51-65",C999&gt;=66,"Above 65")</f>
        <v>18-35</v>
      </c>
      <c r="O999" s="6"/>
    </row>
    <row r="1000" spans="1:15" x14ac:dyDescent="0.35">
      <c r="A1000" t="s">
        <v>1740</v>
      </c>
      <c r="B1000" t="s">
        <v>1171</v>
      </c>
      <c r="C1000">
        <v>56</v>
      </c>
      <c r="D1000" t="s">
        <v>12</v>
      </c>
      <c r="E1000" s="5">
        <v>45877</v>
      </c>
      <c r="F1000" s="5">
        <v>45878</v>
      </c>
      <c r="G1000">
        <f t="shared" si="30"/>
        <v>1</v>
      </c>
      <c r="H1000" t="s">
        <v>23</v>
      </c>
      <c r="I1000" t="s">
        <v>82</v>
      </c>
      <c r="J1000" s="2">
        <v>2315.06</v>
      </c>
      <c r="K1000" s="6">
        <v>0.7</v>
      </c>
      <c r="L1000" t="s">
        <v>15</v>
      </c>
      <c r="M1000" s="3">
        <f t="shared" si="31"/>
        <v>2315.06</v>
      </c>
      <c r="N1000" s="9" t="str" cm="1">
        <f t="array" ref="N1000">_xlfn.IFS(C1000&lt;18,"Under 18",C1000&lt;36,"18-35",C1000&lt;51,"36-50",C1000&lt;66,"51-65",C1000&gt;=66,"Above 65")</f>
        <v>51-65</v>
      </c>
      <c r="O1000" s="6"/>
    </row>
    <row r="1001" spans="1:15" x14ac:dyDescent="0.35">
      <c r="A1001" t="s">
        <v>1741</v>
      </c>
      <c r="B1001" t="s">
        <v>1742</v>
      </c>
      <c r="C1001">
        <v>18</v>
      </c>
      <c r="D1001" t="s">
        <v>18</v>
      </c>
      <c r="E1001" s="5">
        <v>45349</v>
      </c>
      <c r="F1001" s="5">
        <v>45353</v>
      </c>
      <c r="G1001">
        <f t="shared" si="30"/>
        <v>4</v>
      </c>
      <c r="H1001" t="s">
        <v>31</v>
      </c>
      <c r="I1001" t="s">
        <v>87</v>
      </c>
      <c r="J1001" s="2">
        <v>2235.16</v>
      </c>
      <c r="K1001" s="6">
        <v>1</v>
      </c>
      <c r="L1001" t="s">
        <v>25</v>
      </c>
      <c r="M1001" s="3">
        <f t="shared" si="31"/>
        <v>0</v>
      </c>
      <c r="N1001" s="9" t="str" cm="1">
        <f t="array" ref="N1001">_xlfn.IFS(C1001&lt;18,"Under 18",C1001&lt;36,"18-35",C1001&lt;51,"36-50",C1001&lt;66,"51-65",C1001&gt;=66,"Above 65")</f>
        <v>18-35</v>
      </c>
      <c r="O1001" s="6"/>
    </row>
  </sheetData>
  <autoFilter ref="A1:O1001" xr:uid="{9C1A6D4E-CDC8-4622-9ED2-B9A93B6C1015}"/>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D6E8-2BA7-46C2-BB38-562CA67B48C3}">
  <dimension ref="A3:I49"/>
  <sheetViews>
    <sheetView zoomScale="111" zoomScaleNormal="68" workbookViewId="0">
      <selection activeCell="E9" sqref="E9"/>
    </sheetView>
  </sheetViews>
  <sheetFormatPr defaultRowHeight="14.5" x14ac:dyDescent="0.35"/>
  <cols>
    <col min="1" max="1" width="9.1796875" bestFit="1" customWidth="1"/>
    <col min="2" max="2" width="5.08984375" bestFit="1" customWidth="1"/>
    <col min="3" max="3" width="12.26953125" bestFit="1" customWidth="1"/>
    <col min="4" max="4" width="12.81640625" bestFit="1" customWidth="1"/>
    <col min="5" max="5" width="19.54296875" bestFit="1" customWidth="1"/>
    <col min="7" max="7" width="26.54296875" bestFit="1" customWidth="1"/>
    <col min="8" max="8" width="16.26953125" bestFit="1" customWidth="1"/>
    <col min="9" max="9" width="10.81640625" bestFit="1" customWidth="1"/>
  </cols>
  <sheetData>
    <row r="3" spans="1:9" x14ac:dyDescent="0.35">
      <c r="A3" t="s">
        <v>1746</v>
      </c>
      <c r="C3" t="s">
        <v>1747</v>
      </c>
      <c r="E3" t="s">
        <v>1748</v>
      </c>
      <c r="G3" t="s">
        <v>1749</v>
      </c>
      <c r="H3" t="s">
        <v>1762</v>
      </c>
    </row>
    <row r="4" spans="1:9" x14ac:dyDescent="0.35">
      <c r="A4" s="16">
        <v>1000</v>
      </c>
      <c r="C4" s="15">
        <v>8053143.4400000013</v>
      </c>
      <c r="E4" s="13">
        <v>4.8090000000000002</v>
      </c>
      <c r="G4" s="11">
        <v>0.74859999999999782</v>
      </c>
      <c r="H4" s="15">
        <v>4568527.3199999956</v>
      </c>
    </row>
    <row r="5" spans="1:9" x14ac:dyDescent="0.35">
      <c r="A5" s="17">
        <f>GETPIVOTDATA("Patient ID",$A$3)</f>
        <v>1000</v>
      </c>
      <c r="C5" s="14">
        <f>GETPIVOTDATA("Total Bill Amount",$C$3)</f>
        <v>8053143.4400000013</v>
      </c>
      <c r="E5" s="13">
        <f>GETPIVOTDATA("Length of Staye",$E$3)</f>
        <v>4.8090000000000002</v>
      </c>
      <c r="G5" s="6">
        <f>GETPIVOTDATA("Insurance Coverage",$G$3)</f>
        <v>0.74859999999999782</v>
      </c>
      <c r="H5" s="14">
        <f>GETPIVOTDATA("Amount Paid",$H$3)</f>
        <v>4568527.3199999956</v>
      </c>
    </row>
    <row r="7" spans="1:9" x14ac:dyDescent="0.35">
      <c r="A7" s="10" t="s">
        <v>6</v>
      </c>
      <c r="B7" t="s">
        <v>1750</v>
      </c>
      <c r="D7" s="10" t="s">
        <v>1751</v>
      </c>
      <c r="E7" t="s">
        <v>1750</v>
      </c>
      <c r="H7" s="10" t="s">
        <v>9</v>
      </c>
      <c r="I7" t="s">
        <v>1757</v>
      </c>
    </row>
    <row r="8" spans="1:9" x14ac:dyDescent="0.35">
      <c r="A8" s="9" t="s">
        <v>49</v>
      </c>
      <c r="B8">
        <v>153</v>
      </c>
      <c r="D8" s="9" t="s">
        <v>1752</v>
      </c>
      <c r="E8">
        <v>170</v>
      </c>
      <c r="H8" s="9" t="s">
        <v>20</v>
      </c>
      <c r="I8" s="11">
        <v>0.25863024240382854</v>
      </c>
    </row>
    <row r="9" spans="1:9" x14ac:dyDescent="0.35">
      <c r="A9" s="9" t="s">
        <v>60</v>
      </c>
      <c r="B9">
        <v>159</v>
      </c>
      <c r="D9" s="9" t="s">
        <v>1753</v>
      </c>
      <c r="E9">
        <v>210</v>
      </c>
      <c r="H9" s="9" t="s">
        <v>25</v>
      </c>
      <c r="I9" s="11">
        <v>0.1740723595009008</v>
      </c>
    </row>
    <row r="10" spans="1:9" x14ac:dyDescent="0.35">
      <c r="A10" s="9" t="s">
        <v>70</v>
      </c>
      <c r="B10">
        <v>94</v>
      </c>
      <c r="D10" s="9" t="s">
        <v>1754</v>
      </c>
      <c r="E10">
        <v>235</v>
      </c>
      <c r="H10" s="9" t="s">
        <v>15</v>
      </c>
      <c r="I10" s="11">
        <v>0.56729739809527069</v>
      </c>
    </row>
    <row r="11" spans="1:9" x14ac:dyDescent="0.35">
      <c r="A11" s="9" t="s">
        <v>31</v>
      </c>
      <c r="B11">
        <v>252</v>
      </c>
      <c r="D11" s="9" t="s">
        <v>1755</v>
      </c>
      <c r="E11">
        <v>232</v>
      </c>
    </row>
    <row r="12" spans="1:9" x14ac:dyDescent="0.35">
      <c r="A12" s="9" t="s">
        <v>23</v>
      </c>
      <c r="B12">
        <v>190</v>
      </c>
      <c r="D12" s="9" t="s">
        <v>1756</v>
      </c>
      <c r="E12">
        <v>153</v>
      </c>
    </row>
    <row r="13" spans="1:9" x14ac:dyDescent="0.35">
      <c r="A13" s="9" t="s">
        <v>13</v>
      </c>
      <c r="B13">
        <v>152</v>
      </c>
    </row>
    <row r="15" spans="1:9" x14ac:dyDescent="0.35">
      <c r="A15" s="10" t="s">
        <v>3</v>
      </c>
      <c r="B15" t="s">
        <v>1758</v>
      </c>
      <c r="D15" s="10" t="s">
        <v>1761</v>
      </c>
      <c r="E15" t="s">
        <v>1750</v>
      </c>
    </row>
    <row r="16" spans="1:9" x14ac:dyDescent="0.35">
      <c r="A16" s="9" t="s">
        <v>18</v>
      </c>
      <c r="B16" s="11">
        <v>0.51200000000000001</v>
      </c>
      <c r="D16" s="9" t="s">
        <v>1759</v>
      </c>
      <c r="E16">
        <v>508</v>
      </c>
    </row>
    <row r="17" spans="1:5" x14ac:dyDescent="0.35">
      <c r="A17" s="9" t="s">
        <v>12</v>
      </c>
      <c r="B17" s="11">
        <v>0.48799999999999999</v>
      </c>
      <c r="D17" s="18" t="s">
        <v>1763</v>
      </c>
      <c r="E17">
        <v>108</v>
      </c>
    </row>
    <row r="18" spans="1:5" x14ac:dyDescent="0.35">
      <c r="D18" s="19" t="s">
        <v>1767</v>
      </c>
      <c r="E18">
        <v>34</v>
      </c>
    </row>
    <row r="19" spans="1:5" x14ac:dyDescent="0.35">
      <c r="D19" s="19" t="s">
        <v>1768</v>
      </c>
      <c r="E19">
        <v>35</v>
      </c>
    </row>
    <row r="20" spans="1:5" x14ac:dyDescent="0.35">
      <c r="D20" s="19" t="s">
        <v>1769</v>
      </c>
      <c r="E20">
        <v>39</v>
      </c>
    </row>
    <row r="21" spans="1:5" x14ac:dyDescent="0.35">
      <c r="D21" s="18" t="s">
        <v>1764</v>
      </c>
      <c r="E21">
        <v>123</v>
      </c>
    </row>
    <row r="22" spans="1:5" x14ac:dyDescent="0.35">
      <c r="D22" s="19" t="s">
        <v>1770</v>
      </c>
      <c r="E22">
        <v>44</v>
      </c>
    </row>
    <row r="23" spans="1:5" x14ac:dyDescent="0.35">
      <c r="D23" s="19" t="s">
        <v>1771</v>
      </c>
      <c r="E23">
        <v>39</v>
      </c>
    </row>
    <row r="24" spans="1:5" x14ac:dyDescent="0.35">
      <c r="D24" s="19" t="s">
        <v>1772</v>
      </c>
      <c r="E24">
        <v>40</v>
      </c>
    </row>
    <row r="25" spans="1:5" x14ac:dyDescent="0.35">
      <c r="D25" s="18" t="s">
        <v>1765</v>
      </c>
      <c r="E25">
        <v>141</v>
      </c>
    </row>
    <row r="26" spans="1:5" x14ac:dyDescent="0.35">
      <c r="D26" s="19" t="s">
        <v>1773</v>
      </c>
      <c r="E26">
        <v>51</v>
      </c>
    </row>
    <row r="27" spans="1:5" x14ac:dyDescent="0.35">
      <c r="D27" s="19" t="s">
        <v>1774</v>
      </c>
      <c r="E27">
        <v>46</v>
      </c>
    </row>
    <row r="28" spans="1:5" x14ac:dyDescent="0.35">
      <c r="D28" s="19" t="s">
        <v>1775</v>
      </c>
      <c r="E28">
        <v>44</v>
      </c>
    </row>
    <row r="29" spans="1:5" x14ac:dyDescent="0.35">
      <c r="D29" s="18" t="s">
        <v>1766</v>
      </c>
      <c r="E29">
        <v>136</v>
      </c>
    </row>
    <row r="30" spans="1:5" x14ac:dyDescent="0.35">
      <c r="D30" s="19" t="s">
        <v>1776</v>
      </c>
      <c r="E30">
        <v>45</v>
      </c>
    </row>
    <row r="31" spans="1:5" x14ac:dyDescent="0.35">
      <c r="D31" s="19" t="s">
        <v>1777</v>
      </c>
      <c r="E31">
        <v>43</v>
      </c>
    </row>
    <row r="32" spans="1:5" x14ac:dyDescent="0.35">
      <c r="D32" s="19" t="s">
        <v>1778</v>
      </c>
      <c r="E32">
        <v>48</v>
      </c>
    </row>
    <row r="33" spans="4:5" x14ac:dyDescent="0.35">
      <c r="D33" s="9" t="s">
        <v>1760</v>
      </c>
      <c r="E33">
        <v>492</v>
      </c>
    </row>
    <row r="34" spans="4:5" x14ac:dyDescent="0.35">
      <c r="D34" s="18" t="s">
        <v>1763</v>
      </c>
      <c r="E34">
        <v>124</v>
      </c>
    </row>
    <row r="35" spans="4:5" x14ac:dyDescent="0.35">
      <c r="D35" s="19" t="s">
        <v>1767</v>
      </c>
      <c r="E35">
        <v>51</v>
      </c>
    </row>
    <row r="36" spans="4:5" x14ac:dyDescent="0.35">
      <c r="D36" s="19" t="s">
        <v>1768</v>
      </c>
      <c r="E36">
        <v>31</v>
      </c>
    </row>
    <row r="37" spans="4:5" x14ac:dyDescent="0.35">
      <c r="D37" s="19" t="s">
        <v>1769</v>
      </c>
      <c r="E37">
        <v>42</v>
      </c>
    </row>
    <row r="38" spans="4:5" x14ac:dyDescent="0.35">
      <c r="D38" s="18" t="s">
        <v>1764</v>
      </c>
      <c r="E38">
        <v>117</v>
      </c>
    </row>
    <row r="39" spans="4:5" x14ac:dyDescent="0.35">
      <c r="D39" s="19" t="s">
        <v>1770</v>
      </c>
      <c r="E39">
        <v>50</v>
      </c>
    </row>
    <row r="40" spans="4:5" x14ac:dyDescent="0.35">
      <c r="D40" s="19" t="s">
        <v>1771</v>
      </c>
      <c r="E40">
        <v>38</v>
      </c>
    </row>
    <row r="41" spans="4:5" x14ac:dyDescent="0.35">
      <c r="D41" s="19" t="s">
        <v>1772</v>
      </c>
      <c r="E41">
        <v>29</v>
      </c>
    </row>
    <row r="42" spans="4:5" x14ac:dyDescent="0.35">
      <c r="D42" s="18" t="s">
        <v>1765</v>
      </c>
      <c r="E42">
        <v>118</v>
      </c>
    </row>
    <row r="43" spans="4:5" x14ac:dyDescent="0.35">
      <c r="D43" s="19" t="s">
        <v>1773</v>
      </c>
      <c r="E43">
        <v>45</v>
      </c>
    </row>
    <row r="44" spans="4:5" x14ac:dyDescent="0.35">
      <c r="D44" s="19" t="s">
        <v>1774</v>
      </c>
      <c r="E44">
        <v>29</v>
      </c>
    </row>
    <row r="45" spans="4:5" x14ac:dyDescent="0.35">
      <c r="D45" s="19" t="s">
        <v>1775</v>
      </c>
      <c r="E45">
        <v>44</v>
      </c>
    </row>
    <row r="46" spans="4:5" x14ac:dyDescent="0.35">
      <c r="D46" s="18" t="s">
        <v>1766</v>
      </c>
      <c r="E46">
        <v>133</v>
      </c>
    </row>
    <row r="47" spans="4:5" x14ac:dyDescent="0.35">
      <c r="D47" s="19" t="s">
        <v>1776</v>
      </c>
      <c r="E47">
        <v>39</v>
      </c>
    </row>
    <row r="48" spans="4:5" x14ac:dyDescent="0.35">
      <c r="D48" s="19" t="s">
        <v>1777</v>
      </c>
      <c r="E48">
        <v>57</v>
      </c>
    </row>
    <row r="49" spans="4:5" x14ac:dyDescent="0.35">
      <c r="D49" s="19" t="s">
        <v>1778</v>
      </c>
      <c r="E49">
        <v>37</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5014-0B4C-4247-AF35-28BC226B4E01}">
  <dimension ref="A1:AD46"/>
  <sheetViews>
    <sheetView tabSelected="1" zoomScale="60" zoomScaleNormal="50" workbookViewId="0">
      <selection activeCell="AE14" sqref="AE14"/>
    </sheetView>
  </sheetViews>
  <sheetFormatPr defaultRowHeight="14.5" x14ac:dyDescent="0.35"/>
  <cols>
    <col min="9" max="9" width="15.1796875" customWidth="1"/>
    <col min="10" max="10" width="8.7265625" customWidth="1"/>
  </cols>
  <sheetData>
    <row r="1" spans="1:30" ht="44.5" customHeight="1" x14ac:dyDescent="0.8">
      <c r="A1" s="12"/>
      <c r="B1" s="12"/>
      <c r="C1" s="12"/>
      <c r="D1" s="12"/>
      <c r="E1" s="12"/>
      <c r="F1" s="12"/>
      <c r="G1" s="12"/>
      <c r="H1" s="12"/>
      <c r="I1" s="12"/>
      <c r="J1" s="12"/>
      <c r="K1" s="21" t="s">
        <v>1779</v>
      </c>
      <c r="L1" s="21"/>
      <c r="M1" s="21"/>
      <c r="N1" s="21"/>
      <c r="O1" s="21"/>
      <c r="P1" s="21"/>
      <c r="Q1" s="21"/>
      <c r="R1" s="21"/>
      <c r="S1" s="21"/>
      <c r="T1" s="21"/>
      <c r="U1" s="21"/>
      <c r="V1" s="21"/>
      <c r="W1" s="21"/>
      <c r="X1" s="21"/>
      <c r="Y1" s="21"/>
      <c r="Z1" s="20"/>
      <c r="AA1" s="20"/>
      <c r="AB1" s="20"/>
      <c r="AC1" s="20"/>
      <c r="AD1" s="12"/>
    </row>
    <row r="2" spans="1:30"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row>
    <row r="4" spans="1:30"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1:30"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1:30"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1:30"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row>
    <row r="9" spans="1:30"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row>
    <row r="27" spans="1:30"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0"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x14ac:dyDescent="0.35">
      <c r="A46" s="12"/>
      <c r="B46" s="12"/>
      <c r="C46" s="12"/>
      <c r="D46" s="12"/>
      <c r="E46" s="12"/>
      <c r="F46" s="12"/>
      <c r="G46" s="12"/>
      <c r="H46" s="12"/>
      <c r="I46" s="12"/>
      <c r="J46" s="12"/>
      <c r="K46" s="12"/>
      <c r="L46" s="12"/>
      <c r="M46" s="12"/>
      <c r="N46" s="12"/>
      <c r="O46" s="12"/>
      <c r="P46" s="12"/>
      <c r="Q46" s="12"/>
      <c r="R46" s="12"/>
    </row>
  </sheetData>
  <mergeCells count="1">
    <mergeCell ref="K1:Y1"/>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Patients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~The Captain~</cp:lastModifiedBy>
  <cp:lastPrinted>2026-10-27T13:11:33Z</cp:lastPrinted>
  <dcterms:created xsi:type="dcterms:W3CDTF">2026-03-11T02:30:26Z</dcterms:created>
  <dcterms:modified xsi:type="dcterms:W3CDTF">2026-10-27T18:42:11Z</dcterms:modified>
</cp:coreProperties>
</file>